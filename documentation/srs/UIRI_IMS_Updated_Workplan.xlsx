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OneDrive\Desktop\UIRI_Projects\Database _Project\"/>
    </mc:Choice>
  </mc:AlternateContent>
  <xr:revisionPtr revIDLastSave="0" documentId="13_ncr:1_{2FD0E818-869C-49EF-97B2-B37EA541CA04}" xr6:coauthVersionLast="47" xr6:coauthVersionMax="47" xr10:uidLastSave="{00000000-0000-0000-0000-000000000000}"/>
  <bookViews>
    <workbookView xWindow="-120" yWindow="-120" windowWidth="20730" windowHeight="11760" xr2:uid="{00000000-000D-0000-FFFF-FFFF00000000}"/>
  </bookViews>
  <sheets>
    <sheet name="ProjectSchedule" sheetId="1" r:id="rId1"/>
    <sheet name="About" sheetId="2" r:id="rId2"/>
  </sheets>
  <definedNames>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2" l="1"/>
  <c r="H48" i="1"/>
  <c r="H47" i="1"/>
  <c r="H46" i="1"/>
  <c r="H45" i="1"/>
  <c r="H44"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BG6" i="1"/>
  <c r="BF6" i="1"/>
  <c r="AZ6" i="1"/>
  <c r="AY6" i="1"/>
  <c r="AS6" i="1"/>
  <c r="AR6" i="1"/>
  <c r="AL6" i="1"/>
  <c r="AK6" i="1"/>
  <c r="AE6" i="1"/>
  <c r="AD6" i="1"/>
  <c r="X6" i="1"/>
  <c r="W6" i="1"/>
  <c r="Q6" i="1"/>
  <c r="P6" i="1"/>
  <c r="J6" i="1"/>
  <c r="I6" i="1"/>
  <c r="BH5" i="1"/>
  <c r="BH6" i="1" s="1"/>
  <c r="BB5" i="1"/>
  <c r="BB6" i="1" s="1"/>
  <c r="BA5" i="1"/>
  <c r="BA6" i="1" s="1"/>
  <c r="AT5" i="1"/>
  <c r="AU5" i="1" s="1"/>
  <c r="AN5" i="1"/>
  <c r="AN6" i="1" s="1"/>
  <c r="AM5" i="1"/>
  <c r="AM6" i="1" s="1"/>
  <c r="AF5" i="1"/>
  <c r="AF6" i="1" s="1"/>
  <c r="Z5" i="1"/>
  <c r="Z6" i="1" s="1"/>
  <c r="Y5" i="1"/>
  <c r="Y6" i="1" s="1"/>
  <c r="R5" i="1"/>
  <c r="R6" i="1" s="1"/>
  <c r="K5" i="1"/>
  <c r="K6" i="1" s="1"/>
  <c r="AU6" i="1" l="1"/>
  <c r="AV5" i="1"/>
  <c r="AG5" i="1"/>
  <c r="BC5" i="1"/>
  <c r="L5" i="1"/>
  <c r="AA5" i="1"/>
  <c r="BI5" i="1"/>
  <c r="AT6" i="1"/>
  <c r="S5" i="1"/>
  <c r="AO5" i="1"/>
  <c r="AV6" i="1" l="1"/>
  <c r="AW5" i="1"/>
  <c r="BJ5" i="1"/>
  <c r="BI6" i="1"/>
  <c r="AP5" i="1"/>
  <c r="AO6" i="1"/>
  <c r="S6" i="1"/>
  <c r="T5" i="1"/>
  <c r="BD5" i="1"/>
  <c r="BC6" i="1"/>
  <c r="AB5" i="1"/>
  <c r="AA6" i="1"/>
  <c r="M5" i="1"/>
  <c r="L6" i="1"/>
  <c r="AH5" i="1"/>
  <c r="AG6" i="1"/>
  <c r="BE5" i="1" l="1"/>
  <c r="BE6" i="1" s="1"/>
  <c r="BD6" i="1"/>
  <c r="U5" i="1"/>
  <c r="T6" i="1"/>
  <c r="AI5" i="1"/>
  <c r="AH6" i="1"/>
  <c r="M6" i="1"/>
  <c r="N5" i="1"/>
  <c r="AP6" i="1"/>
  <c r="AQ5" i="1"/>
  <c r="AQ6" i="1" s="1"/>
  <c r="AC5" i="1"/>
  <c r="AC6" i="1" s="1"/>
  <c r="AB6" i="1"/>
  <c r="BK5" i="1"/>
  <c r="BJ6" i="1"/>
  <c r="AW6" i="1"/>
  <c r="AX5" i="1"/>
  <c r="AX6" i="1" s="1"/>
  <c r="N6" i="1" l="1"/>
  <c r="O5" i="1"/>
  <c r="O6" i="1" s="1"/>
  <c r="BL5" i="1"/>
  <c r="BL6" i="1" s="1"/>
  <c r="BK6" i="1"/>
  <c r="AI6" i="1"/>
  <c r="AJ5" i="1"/>
  <c r="AJ6" i="1" s="1"/>
  <c r="V5" i="1"/>
  <c r="V6" i="1" s="1"/>
  <c r="U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sz val="11"/>
            <color theme="1"/>
            <rFont val="Calibri"/>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<sst xmlns="http://schemas.openxmlformats.org/spreadsheetml/2006/main" count="107" uniqueCount="84">
  <si>
    <t>TASK</t>
  </si>
  <si>
    <t>ASSIGNED
TO</t>
  </si>
  <si>
    <t>PROGRESS</t>
  </si>
  <si>
    <t>START</t>
  </si>
  <si>
    <t>END</t>
  </si>
  <si>
    <t>DAYS</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</si>
  <si>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</si>
  <si>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</si>
  <si>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</si>
  <si>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</si>
  <si>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</si>
  <si>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</si>
  <si>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UIRI INVENTORY MANAGEMENT SYSTEM DATABASE PROJECT</t>
  </si>
  <si>
    <t>Makerere University</t>
  </si>
  <si>
    <t>Project Start:</t>
  </si>
  <si>
    <t>Database Project Team</t>
  </si>
  <si>
    <t>Today:</t>
  </si>
  <si>
    <t>By Keith, Tracy &amp; Deo</t>
  </si>
  <si>
    <t>Display Week:</t>
  </si>
  <si>
    <t>Phase 1: Project Initiation and Requirements</t>
  </si>
  <si>
    <t>Supervisor briefing and scope confirmation</t>
  </si>
  <si>
    <t>Keith, Tracy &amp; Deo</t>
  </si>
  <si>
    <t>UIRI inventory process study</t>
  </si>
  <si>
    <t>Keith &amp; Tracy</t>
  </si>
  <si>
    <t>Stakeholder and user requirements gathering</t>
  </si>
  <si>
    <t>Tracy &amp; Deo</t>
  </si>
  <si>
    <t>Review of project brief and research files</t>
  </si>
  <si>
    <t>Keith</t>
  </si>
  <si>
    <t>Proposal restructuring and approval draft</t>
  </si>
  <si>
    <t>Phase 2: Requirements Analysis and SRS</t>
  </si>
  <si>
    <t>Problem analysis and business rules</t>
  </si>
  <si>
    <t>SRS preparation</t>
  </si>
  <si>
    <t>Tracy</t>
  </si>
  <si>
    <t>Use case identification</t>
  </si>
  <si>
    <t>Deo &amp; Tracy</t>
  </si>
  <si>
    <t>Inventory categories and department mapping</t>
  </si>
  <si>
    <t>Keith &amp; Deo</t>
  </si>
  <si>
    <t>Security requirements and audit review</t>
  </si>
  <si>
    <t>Phase 3: Database Design and Documentation</t>
  </si>
  <si>
    <t>Entity identification and relationship mapping</t>
  </si>
  <si>
    <t>Data dictionary development</t>
  </si>
  <si>
    <t>Conceptual ERD preparation</t>
  </si>
  <si>
    <t>Logical ERD and 3NF normalization</t>
  </si>
  <si>
    <t>Extended ERD review and corrections</t>
  </si>
  <si>
    <t>Phase 4: Database Implementation</t>
  </si>
  <si>
    <t>Physical schema creation in MySQL</t>
  </si>
  <si>
    <t>Primary keys, foreign keys and constraints</t>
  </si>
  <si>
    <t>Campus, department and category seed data</t>
  </si>
  <si>
    <t>Authentication and RBAC tables</t>
  </si>
  <si>
    <t>Database integrity review</t>
  </si>
  <si>
    <t>Phase 5: Application Modules, Testing and Documentation</t>
  </si>
  <si>
    <t>Inventory item and asset instance module</t>
  </si>
  <si>
    <t>Stock in, stock out and transfer module</t>
  </si>
  <si>
    <t>Supplier, dashboard and reports module</t>
  </si>
  <si>
    <t>Security, audit trail and validation checks</t>
  </si>
  <si>
    <t>System testing and correction</t>
  </si>
  <si>
    <t>Phase 6: Presentation and Final Submission</t>
  </si>
  <si>
    <t>Final proposal and SRS packaging</t>
  </si>
  <si>
    <t>ERD and UML diagrams finalization in Visio</t>
  </si>
  <si>
    <t>Deo</t>
  </si>
  <si>
    <t>User manual and final project report</t>
  </si>
  <si>
    <t>Presentation slides and demonstration script</t>
  </si>
  <si>
    <t>Supervisor presentation and handover</t>
  </si>
  <si>
    <t>UIRI Inventory Management System Work Plan</t>
  </si>
  <si>
    <t>Project</t>
  </si>
  <si>
    <t>Design and Development of a Web Based Inventory Management System for UIRI</t>
  </si>
  <si>
    <t>Duration</t>
  </si>
  <si>
    <t>6 weeks</t>
  </si>
  <si>
    <t>Start date</t>
  </si>
  <si>
    <t>Presentation week</t>
  </si>
  <si>
    <t>Week 6</t>
  </si>
  <si>
    <t>Team Member</t>
  </si>
  <si>
    <t>Project Role</t>
  </si>
  <si>
    <t>Keith Paul Kato</t>
  </si>
  <si>
    <t>Lead reporter, database design, normalization, schema implementation</t>
  </si>
  <si>
    <t>Komukama Tracy</t>
  </si>
  <si>
    <t>Requirements, SRS, documentation, supplier and report module support</t>
  </si>
  <si>
    <t>Atuhiire Deo Kamate</t>
  </si>
  <si>
    <t>Data dictionary, UML diagrams, testing and dashboard support</t>
  </si>
  <si>
    <t>Supervisor</t>
  </si>
  <si>
    <t>Mr. William Kakooza</t>
  </si>
  <si>
    <t>Institution</t>
  </si>
  <si>
    <t>Uganda Industrial Research Institute</t>
  </si>
  <si>
    <t>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</si>
</sst>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numFmt numFmtId="165" formatCode="ddd\,\ m/d/yyyy"/>
    <numFmt numFmtId="166" formatCode="mmm\ d\,\ yyyy"/>
    <numFmt numFmtId="167" formatCode="d"/>
    <numFmt numFmtId="168" formatCode="m/d/yy"/>
  </numFmts>
  <fonts count="25" x14ac:knownFonts="1">
    <font>
      <sz val="11"/>
      <color theme="1"/>
      <name val="Calibri"/>
    </font>
    <font>
      <sz val="10"/>
      <name val="Calibri"/>
    </font>
    <font>
      <sz val="11"/>
      <color indexed="12"/>
      <name val="Arial"/>
    </font>
    <font>
      <sz val="11"/>
      <color theme="1"/>
      <name val="Calibri"/>
    </font>
    <font>
      <sz val="8"/>
      <color theme="0"/>
      <name val="Calibri"/>
    </font>
    <font>
      <b/>
      <sz val="12"/>
      <color theme="1" tint="0.34998626667073579"/>
      <name val="Calibri"/>
    </font>
    <font>
      <b/>
      <sz val="10"/>
      <name val="Calibri"/>
    </font>
    <font>
      <sz val="11"/>
      <color theme="1" tint="0.49995422223578601"/>
      <name val="Calibri"/>
    </font>
    <font>
      <sz val="20"/>
      <name val="Calibri"/>
    </font>
    <font>
      <sz val="11"/>
      <color rgb="FF1D2129"/>
      <name val="Calibri"/>
    </font>
    <font>
      <b/>
      <sz val="16"/>
      <color theme="4" tint="-0.249977111117893"/>
      <name val="Calibri"/>
    </font>
    <font>
      <sz val="10"/>
      <color theme="1" tint="0.34998626667073579"/>
      <name val="Calibri"/>
    </font>
    <font>
      <sz val="8"/>
      <name val="Calibri"/>
    </font>
    <font>
      <sz val="8"/>
      <color theme="1"/>
      <name val="Calibri"/>
    </font>
    <font>
      <b/>
      <sz val="8"/>
      <color theme="4" tint="-0.249977111117893"/>
      <name val="Calibri"/>
    </font>
    <font>
      <sz val="8"/>
      <color theme="0" tint="-0.49995422223578601"/>
      <name val="Calibri"/>
    </font>
    <font>
      <sz val="8"/>
      <color theme="4" tint="-0.249977111117893"/>
      <name val="Arial"/>
    </font>
    <font>
      <b/>
      <sz val="8"/>
      <color theme="0"/>
      <name val="Calibri"/>
    </font>
    <font>
      <b/>
      <sz val="8"/>
      <color theme="1"/>
      <name val="Calibri"/>
    </font>
    <font>
      <b/>
      <sz val="8"/>
      <name val="Calibri"/>
    </font>
    <font>
      <i/>
      <sz val="8"/>
      <color theme="1"/>
      <name val="Calibri"/>
    </font>
    <font>
      <sz val="8"/>
      <color theme="1" tint="0.49995422223578601"/>
      <name val="Calibri"/>
    </font>
    <font>
      <b/>
      <sz val="11"/>
      <color theme="1" tint="0.34998626667073579"/>
      <name val="Calibri"/>
    </font>
    <font>
      <b/>
      <sz val="8"/>
      <color rgb="FFFFFFFF"/>
      <name val="Calibri"/>
    </font>
    <font>
      <sz val="8"/>
      <color rgb="FFFFFFFF"/>
      <name val="Calibri"/>
    </font>
  </fonts>
  <fills count="21">
    <fill>
      <patternFill patternType="none"/>
    </fill>
    <fill>
      <patternFill patternType="gray125"/>
    </fill>
    <fill>
      <patternFill patternType="solid">
        <fgColor theme="0" tint="-4.9989318521683403E-2"/>
        <bgColor indexed="65"/>
      </patternFill>
    </fill>
    <fill>
      <patternFill patternType="solid">
        <fgColor theme="6" tint="0.59996337778862885"/>
        <bgColor indexed="65"/>
      </patternFill>
    </fill>
    <fill>
      <patternFill patternType="solid">
        <fgColor theme="1" tint="0.34998626667073579"/>
        <bgColor indexed="65"/>
      </patternFill>
    </fill>
    <fill>
      <patternFill patternType="solid">
        <fgColor rgb="FFD9D9D9"/>
      </patternFill>
    </fill>
    <fill>
      <patternFill patternType="solid">
        <fgColor rgb="FFFFFFFF"/>
      </patternFill>
    </fill>
    <fill>
      <patternFill patternType="solid">
        <fgColor rgb="FF595959"/>
      </patternFill>
    </fill>
    <fill>
      <patternFill patternType="solid">
        <fgColor rgb="FF222222"/>
      </patternFill>
    </fill>
    <fill>
      <patternFill patternType="solid">
        <fgColor rgb="FFD9EAF7"/>
      </patternFill>
    </fill>
    <fill>
      <patternFill patternType="solid">
        <fgColor rgb="FF5B9BD5"/>
      </patternFill>
    </fill>
    <fill>
      <patternFill patternType="solid">
        <fgColor rgb="FFF4CCCC"/>
      </patternFill>
    </fill>
    <fill>
      <patternFill patternType="solid">
        <fgColor rgb="FFC0504D"/>
      </patternFill>
    </fill>
    <fill>
      <patternFill patternType="solid">
        <fgColor rgb="FFD9EAD3"/>
      </patternFill>
    </fill>
    <fill>
      <patternFill patternType="solid">
        <fgColor rgb="FF70AD47"/>
      </patternFill>
    </fill>
    <fill>
      <patternFill patternType="solid">
        <fgColor rgb="FFD9D2E9"/>
      </patternFill>
    </fill>
    <fill>
      <patternFill patternType="solid">
        <fgColor rgb="FF8064A2"/>
      </patternFill>
    </fill>
    <fill>
      <patternFill patternType="solid">
        <fgColor rgb="FF4BACC6"/>
      </patternFill>
    </fill>
    <fill>
      <patternFill patternType="solid">
        <fgColor rgb="FFB7E1A1"/>
      </patternFill>
    </fill>
    <fill>
      <patternFill patternType="solid">
        <fgColor rgb="FF7CB342"/>
      </patternFill>
    </fill>
    <fill>
      <patternFill patternType="solid">
        <fgColor rgb="FFEDEDED"/>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2" fillId="0" borderId="0" applyNumberFormat="0" applyFill="0" applyBorder="0" applyAlignment="0" applyProtection="0">
      <alignment vertical="top"/>
    </xf>
    <xf numFmtId="9" fontId="3" fillId="0" borderId="0" applyFont="0" applyFill="0" applyBorder="0" applyAlignment="0" applyProtection="0"/>
  </cellStyleXfs>
  <cellXfs count="132">
    <xf numFmtId="0" fontId="0" fillId="0" borderId="0" xfId="0"/>
    <xf numFmtId="0" fontId="1" fillId="0" borderId="0" xfId="0" applyFont="1"/>
    <xf numFmtId="0" fontId="1" fillId="0" borderId="0" xfId="0" applyFont="1" applyAlignment="1">
      <alignment vertical="top"/>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vertical="center"/>
    </xf>
    <xf numFmtId="0" fontId="1" fillId="0" borderId="0" xfId="0" applyFont="1" applyAlignment="1">
      <alignment horizontal="left" vertical="center"/>
    </xf>
    <xf numFmtId="0" fontId="8" fillId="0" borderId="0" xfId="0" applyFont="1"/>
    <xf numFmtId="0" fontId="9" fillId="0" borderId="0" xfId="0" applyFont="1" applyAlignment="1">
      <alignment vertical="top" wrapText="1"/>
    </xf>
    <xf numFmtId="0" fontId="10" fillId="0" borderId="0" xfId="0" applyFont="1" applyAlignment="1">
      <alignment vertical="center"/>
    </xf>
    <xf numFmtId="0" fontId="9" fillId="0" borderId="0" xfId="0" applyFont="1" applyAlignment="1">
      <alignment horizontal="left" vertical="top" wrapText="1"/>
    </xf>
    <xf numFmtId="0" fontId="2" fillId="0" borderId="0" xfId="1" applyAlignment="1">
      <alignment horizontal="left"/>
    </xf>
    <xf numFmtId="0" fontId="2" fillId="0" borderId="0" xfId="1" applyFill="1" applyAlignment="1">
      <alignment horizontal="left"/>
    </xf>
    <xf numFmtId="0" fontId="13" fillId="0" borderId="0" xfId="0" applyFont="1"/>
    <xf numFmtId="0" fontId="14" fillId="0" borderId="0" xfId="0" applyFont="1" applyAlignment="1">
      <alignment horizontal="left"/>
    </xf>
    <xf numFmtId="0" fontId="12" fillId="0" borderId="0" xfId="0" applyFont="1"/>
    <xf numFmtId="0" fontId="12" fillId="0" borderId="0" xfId="0" applyFont="1" applyAlignment="1">
      <alignment horizontal="center"/>
    </xf>
    <xf numFmtId="0" fontId="12" fillId="0" borderId="0" xfId="0" applyFont="1" applyAlignment="1">
      <alignment horizontal="right" vertical="center"/>
    </xf>
    <xf numFmtId="0" fontId="15" fillId="0" borderId="0" xfId="0" applyFont="1" applyAlignment="1">
      <alignment vertical="center"/>
    </xf>
    <xf numFmtId="0" fontId="13" fillId="0" borderId="0" xfId="0" applyFont="1" applyAlignment="1">
      <alignment horizontal="right" vertical="center"/>
    </xf>
    <xf numFmtId="0" fontId="13" fillId="0" borderId="3" xfId="0" applyFont="1" applyBorder="1" applyAlignment="1">
      <alignment horizontal="center" vertical="center"/>
    </xf>
    <xf numFmtId="0" fontId="13" fillId="0" borderId="0" xfId="0" applyFont="1" applyAlignment="1">
      <alignment horizontal="center"/>
    </xf>
    <xf numFmtId="0" fontId="17" fillId="4" borderId="1" xfId="0" applyFont="1" applyFill="1" applyBorder="1" applyAlignment="1">
      <alignment horizontal="center" vertical="center" wrapText="1"/>
    </xf>
    <xf numFmtId="0" fontId="13" fillId="0" borderId="2" xfId="0" applyFont="1" applyBorder="1" applyAlignment="1">
      <alignment horizontal="left" vertical="center"/>
    </xf>
    <xf numFmtId="0" fontId="13" fillId="0" borderId="2" xfId="0" applyFont="1" applyBorder="1" applyAlignment="1">
      <alignment horizontal="center" vertical="center"/>
    </xf>
    <xf numFmtId="9" fontId="12" fillId="0" borderId="2" xfId="2" applyFont="1" applyFill="1" applyBorder="1" applyAlignment="1">
      <alignment horizontal="center" vertical="center"/>
    </xf>
    <xf numFmtId="164" fontId="13" fillId="0" borderId="2" xfId="0" applyNumberFormat="1" applyFont="1" applyBorder="1" applyAlignment="1">
      <alignment horizontal="center" vertical="center"/>
    </xf>
    <xf numFmtId="16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left" vertical="center"/>
    </xf>
    <xf numFmtId="0" fontId="20" fillId="2" borderId="2" xfId="0" applyFont="1" applyFill="1" applyBorder="1" applyAlignment="1">
      <alignment horizontal="center" vertical="center"/>
    </xf>
    <xf numFmtId="9" fontId="12" fillId="2" borderId="2" xfId="2" applyFont="1" applyFill="1" applyBorder="1" applyAlignment="1">
      <alignment horizontal="center" vertical="center"/>
    </xf>
    <xf numFmtId="164" fontId="21" fillId="2" borderId="2" xfId="0" applyNumberFormat="1" applyFont="1" applyFill="1" applyBorder="1" applyAlignment="1">
      <alignment horizontal="left" vertical="center"/>
    </xf>
    <xf numFmtId="164" fontId="12" fillId="2" borderId="2" xfId="0" applyNumberFormat="1" applyFont="1" applyFill="1" applyBorder="1" applyAlignment="1">
      <alignment horizontal="center" vertical="center"/>
    </xf>
    <xf numFmtId="0" fontId="12" fillId="2" borderId="2" xfId="0" applyFont="1" applyFill="1" applyBorder="1" applyAlignment="1">
      <alignment horizontal="center" vertical="center"/>
    </xf>
    <xf numFmtId="0" fontId="13" fillId="2" borderId="11" xfId="0" applyFont="1" applyFill="1" applyBorder="1" applyAlignment="1">
      <alignment vertical="center"/>
    </xf>
    <xf numFmtId="0" fontId="22" fillId="0" borderId="0" xfId="0" applyFont="1" applyAlignment="1">
      <alignment horizontal="left"/>
    </xf>
    <xf numFmtId="0" fontId="13" fillId="3" borderId="2" xfId="0" applyNumberFormat="1" applyFont="1" applyFill="1" applyBorder="1" applyAlignment="1">
      <alignment horizontal="center" vertical="center" wrapText="1"/>
    </xf>
    <xf numFmtId="0" fontId="12" fillId="3" borderId="2" xfId="0" applyNumberFormat="1" applyFont="1" applyFill="1" applyBorder="1" applyAlignment="1">
      <alignment horizontal="left" vertical="center" wrapText="1"/>
    </xf>
    <xf numFmtId="0" fontId="12" fillId="0" borderId="2" xfId="0" applyNumberFormat="1" applyFont="1" applyFill="1" applyBorder="1" applyAlignment="1">
      <alignment horizontal="center" vertical="center"/>
    </xf>
    <xf numFmtId="0" fontId="13" fillId="6" borderId="11" xfId="0" applyNumberFormat="1" applyFont="1" applyFill="1" applyBorder="1" applyAlignment="1">
      <alignment vertical="center"/>
    </xf>
    <xf numFmtId="0" fontId="13" fillId="6" borderId="11" xfId="0" applyNumberFormat="1" applyFont="1" applyFill="1" applyBorder="1" applyAlignment="1">
      <alignment horizontal="right" vertical="center"/>
    </xf>
    <xf numFmtId="0" fontId="23" fillId="7" borderId="1" xfId="0" applyNumberFormat="1" applyFont="1" applyFill="1" applyBorder="1" applyAlignment="1">
      <alignment horizontal="left" vertical="center"/>
    </xf>
    <xf numFmtId="0" fontId="23" fillId="7" borderId="1" xfId="0" applyNumberFormat="1" applyFont="1" applyFill="1" applyBorder="1" applyAlignment="1">
      <alignment horizontal="center" vertical="center" wrapText="1"/>
    </xf>
    <xf numFmtId="0" fontId="23" fillId="7" borderId="10" xfId="0" applyNumberFormat="1" applyFont="1" applyFill="1" applyBorder="1" applyAlignment="1">
      <alignment horizontal="center" vertical="center"/>
    </xf>
    <xf numFmtId="167" fontId="24" fillId="8" borderId="8" xfId="0" applyNumberFormat="1" applyFont="1" applyFill="1" applyBorder="1" applyAlignment="1">
      <alignment horizontal="center" vertical="center"/>
    </xf>
    <xf numFmtId="167" fontId="24" fillId="8" borderId="0" xfId="0" applyNumberFormat="1" applyFont="1" applyFill="1" applyBorder="1" applyAlignment="1">
      <alignment horizontal="center" vertical="center"/>
    </xf>
    <xf numFmtId="167" fontId="24" fillId="8" borderId="9" xfId="0" applyNumberFormat="1" applyFont="1" applyFill="1" applyBorder="1" applyAlignment="1">
      <alignment horizontal="center" vertical="center"/>
    </xf>
    <xf numFmtId="0" fontId="18" fillId="9" borderId="2" xfId="0" applyNumberFormat="1" applyFont="1" applyFill="1" applyBorder="1" applyAlignment="1">
      <alignment horizontal="left" vertical="center" wrapText="1"/>
    </xf>
    <xf numFmtId="0" fontId="18" fillId="9" borderId="2" xfId="0" applyNumberFormat="1" applyFont="1" applyFill="1" applyBorder="1" applyAlignment="1">
      <alignment horizontal="center" vertical="center" wrapText="1"/>
    </xf>
    <xf numFmtId="0" fontId="12" fillId="9" borderId="2" xfId="0" applyNumberFormat="1" applyFont="1" applyFill="1" applyBorder="1" applyAlignment="1">
      <alignment horizontal="center" vertical="center"/>
    </xf>
    <xf numFmtId="9" fontId="19" fillId="9" borderId="2" xfId="0" applyNumberFormat="1" applyFont="1" applyFill="1" applyBorder="1" applyAlignment="1">
      <alignment horizontal="center" vertical="center" wrapText="1"/>
    </xf>
    <xf numFmtId="164" fontId="18" fillId="9" borderId="2" xfId="0" applyNumberFormat="1" applyFont="1" applyFill="1" applyBorder="1" applyAlignment="1">
      <alignment horizontal="center" vertical="center" wrapText="1"/>
    </xf>
    <xf numFmtId="164" fontId="19" fillId="9" borderId="2" xfId="0" applyNumberFormat="1" applyFont="1" applyFill="1" applyBorder="1" applyAlignment="1">
      <alignment horizontal="center" vertical="center" wrapText="1"/>
    </xf>
    <xf numFmtId="0" fontId="19" fillId="9" borderId="2" xfId="0" applyNumberFormat="1" applyFont="1" applyFill="1" applyBorder="1" applyAlignment="1">
      <alignment horizontal="center" vertical="center"/>
    </xf>
    <xf numFmtId="0" fontId="13" fillId="9" borderId="2" xfId="0" applyNumberFormat="1" applyFont="1" applyFill="1" applyBorder="1" applyAlignment="1">
      <alignment horizontal="left" vertical="center" wrapText="1"/>
    </xf>
    <xf numFmtId="0" fontId="13" fillId="9" borderId="2" xfId="0" applyNumberFormat="1" applyFont="1" applyFill="1" applyBorder="1" applyAlignment="1">
      <alignment horizontal="center" vertical="center" wrapText="1"/>
    </xf>
    <xf numFmtId="168" fontId="13" fillId="9" borderId="2" xfId="0" applyNumberFormat="1" applyFont="1" applyFill="1" applyBorder="1" applyAlignment="1">
      <alignment horizontal="center" vertical="center"/>
    </xf>
    <xf numFmtId="0" fontId="13" fillId="10" borderId="11" xfId="0" applyNumberFormat="1" applyFont="1" applyFill="1" applyBorder="1" applyAlignment="1">
      <alignment vertical="center"/>
    </xf>
    <xf numFmtId="0" fontId="18" fillId="11" borderId="2" xfId="0" applyNumberFormat="1" applyFont="1" applyFill="1" applyBorder="1" applyAlignment="1">
      <alignment horizontal="left" vertical="center" wrapText="1"/>
    </xf>
    <xf numFmtId="0" fontId="18" fillId="11" borderId="2" xfId="0" applyNumberFormat="1" applyFont="1" applyFill="1" applyBorder="1" applyAlignment="1">
      <alignment horizontal="center" vertical="center" wrapText="1"/>
    </xf>
    <xf numFmtId="168" fontId="13" fillId="11" borderId="2" xfId="0" applyNumberFormat="1" applyFont="1" applyFill="1" applyBorder="1" applyAlignment="1">
      <alignment horizontal="center" vertical="center"/>
    </xf>
    <xf numFmtId="0" fontId="12" fillId="11" borderId="2" xfId="0" applyNumberFormat="1" applyFont="1" applyFill="1" applyBorder="1" applyAlignment="1">
      <alignment horizontal="center" vertical="center"/>
    </xf>
    <xf numFmtId="168" fontId="18" fillId="11" borderId="2" xfId="0" applyNumberFormat="1" applyFont="1" applyFill="1" applyBorder="1" applyAlignment="1">
      <alignment horizontal="center" vertical="center"/>
    </xf>
    <xf numFmtId="0" fontId="19" fillId="11" borderId="2" xfId="0" applyNumberFormat="1" applyFont="1" applyFill="1" applyBorder="1" applyAlignment="1">
      <alignment horizontal="center" vertical="center"/>
    </xf>
    <xf numFmtId="0" fontId="13" fillId="11" borderId="2" xfId="0" applyNumberFormat="1" applyFont="1" applyFill="1" applyBorder="1" applyAlignment="1">
      <alignment horizontal="left" vertical="center" wrapText="1"/>
    </xf>
    <xf numFmtId="0" fontId="13" fillId="11" borderId="2" xfId="0" applyNumberFormat="1" applyFont="1" applyFill="1" applyBorder="1" applyAlignment="1">
      <alignment horizontal="center" vertical="center" wrapText="1"/>
    </xf>
    <xf numFmtId="0" fontId="13" fillId="12" borderId="11" xfId="0" applyNumberFormat="1" applyFont="1" applyFill="1" applyBorder="1" applyAlignment="1">
      <alignment vertical="center"/>
    </xf>
    <xf numFmtId="0" fontId="18" fillId="13" borderId="2" xfId="0" applyNumberFormat="1" applyFont="1" applyFill="1" applyBorder="1" applyAlignment="1">
      <alignment horizontal="left" vertical="center" wrapText="1"/>
    </xf>
    <xf numFmtId="0" fontId="18" fillId="13" borderId="2" xfId="0" applyNumberFormat="1" applyFont="1" applyFill="1" applyBorder="1" applyAlignment="1">
      <alignment horizontal="center" vertical="center" wrapText="1"/>
    </xf>
    <xf numFmtId="168" fontId="13" fillId="13" borderId="2" xfId="0" applyNumberFormat="1" applyFont="1" applyFill="1" applyBorder="1" applyAlignment="1">
      <alignment horizontal="center" vertical="center"/>
    </xf>
    <xf numFmtId="0" fontId="12" fillId="13" borderId="2" xfId="0" applyNumberFormat="1" applyFont="1" applyFill="1" applyBorder="1" applyAlignment="1">
      <alignment horizontal="center" vertical="center"/>
    </xf>
    <xf numFmtId="168" fontId="18" fillId="13" borderId="2" xfId="0" applyNumberFormat="1" applyFont="1" applyFill="1" applyBorder="1" applyAlignment="1">
      <alignment horizontal="center" vertical="center"/>
    </xf>
    <xf numFmtId="0" fontId="19" fillId="13" borderId="2" xfId="0" applyNumberFormat="1" applyFont="1" applyFill="1" applyBorder="1" applyAlignment="1">
      <alignment horizontal="center" vertical="center"/>
    </xf>
    <xf numFmtId="0" fontId="13" fillId="13" borderId="2" xfId="0" applyNumberFormat="1" applyFont="1" applyFill="1" applyBorder="1" applyAlignment="1">
      <alignment horizontal="left" vertical="center" wrapText="1"/>
    </xf>
    <xf numFmtId="0" fontId="13" fillId="13" borderId="2" xfId="0" applyNumberFormat="1" applyFont="1" applyFill="1" applyBorder="1" applyAlignment="1">
      <alignment horizontal="center" vertical="center" wrapText="1"/>
    </xf>
    <xf numFmtId="0" fontId="13" fillId="14" borderId="11" xfId="0" applyNumberFormat="1" applyFont="1" applyFill="1" applyBorder="1" applyAlignment="1">
      <alignment vertical="center"/>
    </xf>
    <xf numFmtId="0" fontId="18" fillId="15" borderId="2" xfId="0" applyNumberFormat="1" applyFont="1" applyFill="1" applyBorder="1" applyAlignment="1">
      <alignment horizontal="left" vertical="center" wrapText="1"/>
    </xf>
    <xf numFmtId="0" fontId="18" fillId="15" borderId="2" xfId="0" applyNumberFormat="1" applyFont="1" applyFill="1" applyBorder="1" applyAlignment="1">
      <alignment horizontal="center" vertical="center" wrapText="1"/>
    </xf>
    <xf numFmtId="168" fontId="13" fillId="15" borderId="2" xfId="0" applyNumberFormat="1" applyFont="1" applyFill="1" applyBorder="1" applyAlignment="1">
      <alignment horizontal="center" vertical="center"/>
    </xf>
    <xf numFmtId="0" fontId="12" fillId="15" borderId="2" xfId="0" applyNumberFormat="1" applyFont="1" applyFill="1" applyBorder="1" applyAlignment="1">
      <alignment horizontal="center" vertical="center"/>
    </xf>
    <xf numFmtId="168" fontId="18" fillId="15" borderId="2" xfId="0" applyNumberFormat="1" applyFont="1" applyFill="1" applyBorder="1" applyAlignment="1">
      <alignment horizontal="center" vertical="center"/>
    </xf>
    <xf numFmtId="0" fontId="19" fillId="15" borderId="2" xfId="0" applyNumberFormat="1" applyFont="1" applyFill="1" applyBorder="1" applyAlignment="1">
      <alignment horizontal="center" vertical="center"/>
    </xf>
    <xf numFmtId="0" fontId="13" fillId="15" borderId="2" xfId="0" applyNumberFormat="1" applyFont="1" applyFill="1" applyBorder="1" applyAlignment="1">
      <alignment horizontal="left" vertical="center" wrapText="1"/>
    </xf>
    <xf numFmtId="0" fontId="13" fillId="15" borderId="2" xfId="0" applyNumberFormat="1" applyFont="1" applyFill="1" applyBorder="1" applyAlignment="1">
      <alignment horizontal="center" vertical="center" wrapText="1"/>
    </xf>
    <xf numFmtId="0" fontId="13" fillId="16" borderId="11" xfId="0" applyNumberFormat="1" applyFont="1" applyFill="1" applyBorder="1" applyAlignment="1">
      <alignment vertical="center"/>
    </xf>
    <xf numFmtId="168" fontId="18" fillId="9" borderId="2" xfId="0" applyNumberFormat="1" applyFont="1" applyFill="1" applyBorder="1" applyAlignment="1">
      <alignment horizontal="center" vertical="center"/>
    </xf>
    <xf numFmtId="0" fontId="13" fillId="17" borderId="11" xfId="0" applyNumberFormat="1" applyFont="1" applyFill="1" applyBorder="1" applyAlignment="1">
      <alignment vertical="center"/>
    </xf>
    <xf numFmtId="0" fontId="19" fillId="18" borderId="2" xfId="0" applyNumberFormat="1" applyFont="1" applyFill="1" applyBorder="1" applyAlignment="1">
      <alignment horizontal="left" vertical="center" wrapText="1"/>
    </xf>
    <xf numFmtId="0" fontId="13" fillId="18" borderId="2" xfId="0" applyNumberFormat="1" applyFont="1" applyFill="1" applyBorder="1" applyAlignment="1">
      <alignment horizontal="center" vertical="center" wrapText="1"/>
    </xf>
    <xf numFmtId="168" fontId="13" fillId="18" borderId="2" xfId="0" applyNumberFormat="1" applyFont="1" applyFill="1" applyBorder="1" applyAlignment="1">
      <alignment horizontal="center" vertical="center"/>
    </xf>
    <xf numFmtId="0" fontId="12" fillId="18" borderId="2" xfId="0" applyNumberFormat="1" applyFont="1" applyFill="1" applyBorder="1" applyAlignment="1">
      <alignment horizontal="center" vertical="center"/>
    </xf>
    <xf numFmtId="0" fontId="18" fillId="18" borderId="2" xfId="0" applyNumberFormat="1" applyFont="1" applyFill="1" applyBorder="1" applyAlignment="1">
      <alignment horizontal="center" vertical="center" wrapText="1"/>
    </xf>
    <xf numFmtId="168" fontId="18" fillId="18" borderId="2" xfId="0" applyNumberFormat="1" applyFont="1" applyFill="1" applyBorder="1" applyAlignment="1">
      <alignment horizontal="center" vertical="center"/>
    </xf>
    <xf numFmtId="0" fontId="19" fillId="18" borderId="2" xfId="0" applyNumberFormat="1" applyFont="1" applyFill="1" applyBorder="1" applyAlignment="1">
      <alignment horizontal="center" vertical="center"/>
    </xf>
    <xf numFmtId="0" fontId="13" fillId="18" borderId="2" xfId="0" applyNumberFormat="1" applyFont="1" applyFill="1" applyBorder="1" applyAlignment="1">
      <alignment horizontal="left" vertical="center" wrapText="1"/>
    </xf>
    <xf numFmtId="0" fontId="13" fillId="19" borderId="11" xfId="0" applyNumberFormat="1" applyFont="1" applyFill="1" applyBorder="1" applyAlignment="1">
      <alignment vertical="center"/>
    </xf>
    <xf numFmtId="0" fontId="12" fillId="18" borderId="2" xfId="0" applyNumberFormat="1" applyFont="1" applyFill="1" applyBorder="1" applyAlignment="1">
      <alignment horizontal="left" vertical="center" wrapText="1"/>
    </xf>
    <xf numFmtId="167" fontId="12" fillId="6" borderId="8" xfId="0" applyNumberFormat="1" applyFont="1" applyFill="1" applyBorder="1" applyAlignment="1">
      <alignment horizontal="center" vertical="center"/>
    </xf>
    <xf numFmtId="167" fontId="12" fillId="6" borderId="0" xfId="0" applyNumberFormat="1" applyFont="1" applyFill="1" applyBorder="1" applyAlignment="1">
      <alignment horizontal="center" vertical="center"/>
    </xf>
    <xf numFmtId="167" fontId="12" fillId="6" borderId="9" xfId="0" applyNumberFormat="1" applyFont="1" applyFill="1" applyBorder="1" applyAlignment="1">
      <alignment horizontal="center" vertical="center"/>
    </xf>
    <xf numFmtId="0" fontId="4" fillId="6" borderId="10" xfId="0" applyNumberFormat="1" applyFont="1" applyFill="1" applyBorder="1" applyAlignment="1">
      <alignment horizontal="center" vertical="center"/>
    </xf>
    <xf numFmtId="166" fontId="11" fillId="0" borderId="0" xfId="0" applyNumberFormat="1" applyFont="1" applyFill="1" applyBorder="1" applyAlignment="1">
      <alignment vertical="top"/>
    </xf>
    <xf numFmtId="9" fontId="19" fillId="11" borderId="2" xfId="0" applyNumberFormat="1" applyFont="1" applyFill="1" applyBorder="1" applyAlignment="1">
      <alignment horizontal="center" vertical="center"/>
    </xf>
    <xf numFmtId="9" fontId="19" fillId="13" borderId="2" xfId="0" applyNumberFormat="1" applyFont="1" applyFill="1" applyBorder="1" applyAlignment="1">
      <alignment horizontal="center" vertical="center"/>
    </xf>
    <xf numFmtId="9" fontId="19" fillId="15" borderId="2" xfId="0" applyNumberFormat="1" applyFont="1" applyFill="1" applyBorder="1" applyAlignment="1">
      <alignment horizontal="center" vertical="center"/>
    </xf>
    <xf numFmtId="9" fontId="19" fillId="9" borderId="2" xfId="0" applyNumberFormat="1" applyFont="1" applyFill="1" applyBorder="1" applyAlignment="1">
      <alignment horizontal="center" vertical="center"/>
    </xf>
    <xf numFmtId="9" fontId="19" fillId="18" borderId="2" xfId="0" applyNumberFormat="1" applyFont="1" applyFill="1" applyBorder="1" applyAlignment="1">
      <alignment horizontal="center" vertical="center"/>
    </xf>
    <xf numFmtId="9" fontId="12" fillId="5" borderId="2" xfId="0" applyNumberFormat="1" applyFont="1" applyFill="1" applyBorder="1" applyAlignment="1">
      <alignment horizontal="center" vertical="center"/>
    </xf>
    <xf numFmtId="168" fontId="12" fillId="9" borderId="2" xfId="0" applyNumberFormat="1" applyFont="1" applyFill="1" applyBorder="1" applyAlignment="1">
      <alignment horizontal="center" vertical="center" wrapText="1"/>
    </xf>
    <xf numFmtId="168" fontId="19" fillId="11" borderId="2" xfId="0" applyNumberFormat="1" applyFont="1" applyFill="1" applyBorder="1" applyAlignment="1">
      <alignment horizontal="center" vertical="center" wrapText="1"/>
    </xf>
    <xf numFmtId="168" fontId="12" fillId="11" borderId="2" xfId="0" applyNumberFormat="1" applyFont="1" applyFill="1" applyBorder="1" applyAlignment="1">
      <alignment horizontal="center" vertical="center" wrapText="1"/>
    </xf>
    <xf numFmtId="168" fontId="19" fillId="13" borderId="2" xfId="0" applyNumberFormat="1" applyFont="1" applyFill="1" applyBorder="1" applyAlignment="1">
      <alignment horizontal="center" vertical="center" wrapText="1"/>
    </xf>
    <xf numFmtId="168" fontId="12" fillId="13" borderId="2" xfId="0" applyNumberFormat="1" applyFont="1" applyFill="1" applyBorder="1" applyAlignment="1">
      <alignment horizontal="center" vertical="center" wrapText="1"/>
    </xf>
    <xf numFmtId="168" fontId="19" fillId="15" borderId="2" xfId="0" applyNumberFormat="1" applyFont="1" applyFill="1" applyBorder="1" applyAlignment="1">
      <alignment horizontal="center" vertical="center" wrapText="1"/>
    </xf>
    <xf numFmtId="168" fontId="12" fillId="15" borderId="2" xfId="0" applyNumberFormat="1" applyFont="1" applyFill="1" applyBorder="1" applyAlignment="1">
      <alignment horizontal="center" vertical="center" wrapText="1"/>
    </xf>
    <xf numFmtId="168" fontId="19" fillId="9" borderId="2" xfId="0" applyNumberFormat="1" applyFont="1" applyFill="1" applyBorder="1" applyAlignment="1">
      <alignment horizontal="center" vertical="center" wrapText="1"/>
    </xf>
    <xf numFmtId="168" fontId="19" fillId="18" borderId="2" xfId="0" applyNumberFormat="1" applyFont="1" applyFill="1" applyBorder="1" applyAlignment="1">
      <alignment horizontal="center" vertical="center" wrapText="1"/>
    </xf>
    <xf numFmtId="168" fontId="12" fillId="18" borderId="2" xfId="0" applyNumberFormat="1" applyFont="1" applyFill="1" applyBorder="1" applyAlignment="1">
      <alignment horizontal="center" vertical="center" wrapText="1"/>
    </xf>
    <xf numFmtId="168" fontId="13" fillId="20" borderId="2" xfId="0" applyNumberFormat="1" applyFont="1" applyFill="1" applyBorder="1" applyAlignment="1">
      <alignment horizontal="center" vertical="center"/>
    </xf>
    <xf numFmtId="168" fontId="12" fillId="20" borderId="2" xfId="0" applyNumberFormat="1" applyFont="1" applyFill="1" applyBorder="1" applyAlignment="1">
      <alignment horizontal="center" vertical="center" wrapText="1"/>
    </xf>
    <xf numFmtId="166" fontId="24" fillId="8" borderId="6" xfId="0" applyNumberFormat="1" applyFont="1" applyFill="1" applyBorder="1" applyAlignment="1">
      <alignment horizontal="center" vertical="center" wrapText="1"/>
    </xf>
    <xf numFmtId="166" fontId="24" fillId="8" borderId="1" xfId="0" applyNumberFormat="1" applyFont="1" applyFill="1" applyBorder="1" applyAlignment="1">
      <alignment horizontal="center" vertical="center" wrapText="1"/>
    </xf>
    <xf numFmtId="166" fontId="24" fillId="8" borderId="7" xfId="0" applyNumberFormat="1" applyFont="1" applyFill="1" applyBorder="1" applyAlignment="1">
      <alignment horizontal="center" vertical="center" wrapText="1"/>
    </xf>
    <xf numFmtId="166" fontId="13" fillId="6" borderId="6" xfId="0" applyNumberFormat="1" applyFont="1" applyFill="1" applyBorder="1" applyAlignment="1">
      <alignment horizontal="left" vertical="center" wrapText="1"/>
    </xf>
    <xf numFmtId="166" fontId="13" fillId="6" borderId="1" xfId="0" applyNumberFormat="1" applyFont="1" applyFill="1" applyBorder="1" applyAlignment="1">
      <alignment horizontal="left" vertical="center" wrapText="1"/>
    </xf>
    <xf numFmtId="166" fontId="13" fillId="6" borderId="7" xfId="0" applyNumberFormat="1" applyFont="1" applyFill="1" applyBorder="1" applyAlignment="1">
      <alignment horizontal="left" vertical="center" wrapText="1"/>
    </xf>
    <xf numFmtId="166" fontId="13" fillId="0" borderId="4" xfId="0" applyNumberFormat="1" applyFont="1" applyFill="1" applyBorder="1" applyAlignment="1">
      <alignment horizontal="center" vertical="center"/>
    </xf>
    <xf numFmtId="165" fontId="13" fillId="0" borderId="5" xfId="0" applyNumberFormat="1" applyFont="1" applyBorder="1" applyAlignment="1">
      <alignment horizontal="center" vertical="center"/>
    </xf>
    <xf numFmtId="0" fontId="16" fillId="0" borderId="0" xfId="1" applyFont="1" applyAlignment="1">
      <alignment horizontal="left" vertical="center"/>
    </xf>
  </cellXfs>
  <cellStyles count="3">
    <cellStyle name="Hyperlink" xfId="1" xr:uid="{00000000-0005-0000-0000-000000000000}"/>
    <cellStyle name="Normal" xfId="0" builtinId="0"/>
    <cellStyle name="Percent" xfId="2" xr:uid="{00000000-0005-0000-0000-000002000000}"/>
  </cellStyles>
  <dxfs count="3">
    <dxf>
      <fill>
        <patternFill>
          <bgColor theme="7"/>
        </patternFill>
      </fill>
      <border>
        <left/>
        <right/>
      </border>
    </dxf>
    <dxf>
      <fill>
        <patternFill>
          <bgColor theme="0" tint="-0.34998626667073579"/>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d45f83529ab340ea"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28575</xdr:colOff>
      <xdr:row>56</xdr:row>
      <xdr:rowOff>104775</xdr:rowOff>
    </xdr:to>
    <xdr:sp macro="" textlink="">
      <xdr:nvSpPr>
        <xdr:cNvPr id="1026" name="Text Box 2" hidden="1">
          <a:extLst>
            <a:ext uri="{FF2B5EF4-FFF2-40B4-BE49-F238E27FC236}">
              <a16:creationId xmlns:a16="http://schemas.microsoft.com/office/drawing/2014/main" id="{63D0BAA0-298E-6A5F-2294-720BBE4CE3E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persons/person.xml><?xml version="1.0" encoding="utf-8"?>
<xltc:personList xmlns:xltc="http://schemas.microsoft.com/office/spreadsheetml/2018/threadedcomments">
  <xltc:person displayName="Vertex42.com Templates" id="{62D07789-985F-3CA3-C70F-B1DD729007A8}"/>
</xltc:personList>
</file>

<file path=xl/theme/theme1.xml><?xml version="1.0" encoding="utf-8"?>
<a:theme xmlns:a="http://schemas.openxmlformats.org/drawingml/2006/main" name="Office 2007-2010">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2010">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49995422223578601"/>
  </sheetPr>
  <dimension ref="A1:BL49"/>
  <sheetViews>
    <sheetView showGridLines="0" tabSelected="1" topLeftCell="A25" zoomScale="130" zoomScaleNormal="130" workbookViewId="0">
      <selection activeCell="D22" sqref="D22"/>
    </sheetView>
  </sheetViews>
  <sheetFormatPr defaultRowHeight="15" x14ac:dyDescent="0.25"/>
  <cols>
    <col min="1" max="1" width="2.7109375" style="13" customWidth="1"/>
    <col min="2" max="2" width="32" style="13" customWidth="1"/>
    <col min="3" max="3" width="18" style="13" customWidth="1"/>
    <col min="4" max="4" width="10" style="13" customWidth="1"/>
    <col min="5" max="5" width="10" style="21" customWidth="1"/>
    <col min="6" max="6" width="10" style="13" customWidth="1"/>
    <col min="7" max="7" width="2.7109375" style="13" customWidth="1"/>
    <col min="8" max="8" width="6" style="13" customWidth="1"/>
    <col min="9" max="50" width="3" customWidth="1"/>
    <col min="51" max="64" width="2.5703125" style="13" customWidth="1"/>
    <col min="65" max="65" width="9.140625" style="13" customWidth="1"/>
    <col min="66" max="68" width="9.140625" style="13"/>
    <col min="69" max="70" width="10.28515625" style="13"/>
    <col min="71" max="16384" width="9.140625" style="13"/>
  </cols>
  <sheetData>
    <row r="1" spans="1:64" x14ac:dyDescent="0.25">
      <c r="B1" s="38" t="s">
        <v>12</v>
      </c>
      <c r="C1" s="14"/>
      <c r="D1" s="15"/>
      <c r="E1" s="16"/>
      <c r="F1" s="17"/>
      <c r="H1" s="15"/>
      <c r="I1" s="18"/>
    </row>
    <row r="2" spans="1:64" ht="14.25" customHeight="1" x14ac:dyDescent="0.25">
      <c r="B2" s="13" t="s">
        <v>13</v>
      </c>
      <c r="C2"/>
      <c r="D2" s="19" t="s">
        <v>14</v>
      </c>
      <c r="E2" s="129">
        <v>46188</v>
      </c>
      <c r="F2" s="130"/>
      <c r="T2" s="131"/>
      <c r="U2" s="131"/>
      <c r="V2" s="131"/>
      <c r="W2" s="131"/>
      <c r="X2" s="131"/>
      <c r="Y2" s="131"/>
      <c r="Z2" s="131"/>
      <c r="AA2" s="131"/>
      <c r="AB2" s="131"/>
      <c r="AC2" s="131"/>
      <c r="AD2" s="131"/>
      <c r="AE2" s="131"/>
      <c r="AF2" s="131"/>
      <c r="AG2" s="131"/>
      <c r="AH2" s="131"/>
      <c r="AI2" s="131"/>
      <c r="AJ2" s="131"/>
      <c r="AK2" s="131"/>
    </row>
    <row r="3" spans="1:64" ht="14.25" customHeight="1" x14ac:dyDescent="0.25">
      <c r="B3" s="13" t="s">
        <v>15</v>
      </c>
      <c r="C3"/>
      <c r="D3" s="19" t="s">
        <v>16</v>
      </c>
      <c r="E3" s="129">
        <v>46201</v>
      </c>
      <c r="F3" s="130"/>
    </row>
    <row r="4" spans="1:64" ht="13.5" customHeight="1" x14ac:dyDescent="0.25">
      <c r="B4" s="13" t="s">
        <v>17</v>
      </c>
      <c r="C4"/>
      <c r="D4" s="19" t="s">
        <v>18</v>
      </c>
      <c r="E4" s="20">
        <v>1</v>
      </c>
      <c r="F4"/>
      <c r="I4" s="123">
        <v>46188</v>
      </c>
      <c r="J4" s="124"/>
      <c r="K4" s="124"/>
      <c r="L4" s="124"/>
      <c r="M4" s="124"/>
      <c r="N4" s="124"/>
      <c r="O4" s="125"/>
      <c r="P4" s="123">
        <v>46195</v>
      </c>
      <c r="Q4" s="124"/>
      <c r="R4" s="124"/>
      <c r="S4" s="124"/>
      <c r="T4" s="124"/>
      <c r="U4" s="124"/>
      <c r="V4" s="125"/>
      <c r="W4" s="123">
        <v>46202</v>
      </c>
      <c r="X4" s="124"/>
      <c r="Y4" s="124"/>
      <c r="Z4" s="124"/>
      <c r="AA4" s="124"/>
      <c r="AB4" s="124"/>
      <c r="AC4" s="125"/>
      <c r="AD4" s="123">
        <v>46209</v>
      </c>
      <c r="AE4" s="124"/>
      <c r="AF4" s="124"/>
      <c r="AG4" s="124"/>
      <c r="AH4" s="124"/>
      <c r="AI4" s="124"/>
      <c r="AJ4" s="125"/>
      <c r="AK4" s="123">
        <v>46216</v>
      </c>
      <c r="AL4" s="124"/>
      <c r="AM4" s="124"/>
      <c r="AN4" s="124"/>
      <c r="AO4" s="124"/>
      <c r="AP4" s="124"/>
      <c r="AQ4" s="125"/>
      <c r="AR4" s="123">
        <v>46223</v>
      </c>
      <c r="AS4" s="124"/>
      <c r="AT4" s="124"/>
      <c r="AU4" s="124"/>
      <c r="AV4" s="124"/>
      <c r="AW4" s="124"/>
      <c r="AX4" s="125"/>
      <c r="AY4" s="126"/>
      <c r="AZ4" s="127"/>
      <c r="BA4" s="127"/>
      <c r="BB4" s="127"/>
      <c r="BC4" s="127"/>
      <c r="BD4" s="127"/>
      <c r="BE4" s="128"/>
      <c r="BF4" s="126"/>
      <c r="BG4" s="127"/>
      <c r="BH4" s="127"/>
      <c r="BI4" s="127"/>
      <c r="BJ4" s="127"/>
      <c r="BK4" s="127"/>
      <c r="BL4" s="128"/>
    </row>
    <row r="5" spans="1:64" ht="11.25" x14ac:dyDescent="0.2">
      <c r="A5" s="19"/>
      <c r="G5" s="19"/>
      <c r="I5" s="47">
        <v>46188</v>
      </c>
      <c r="J5" s="48">
        <v>46189</v>
      </c>
      <c r="K5" s="48">
        <f t="shared" ref="K5:AX5" si="0">J5+1</f>
        <v>46190</v>
      </c>
      <c r="L5" s="48">
        <f t="shared" si="0"/>
        <v>46191</v>
      </c>
      <c r="M5" s="48">
        <f t="shared" si="0"/>
        <v>46192</v>
      </c>
      <c r="N5" s="48">
        <f t="shared" si="0"/>
        <v>46193</v>
      </c>
      <c r="O5" s="49">
        <f t="shared" si="0"/>
        <v>46194</v>
      </c>
      <c r="P5" s="47">
        <v>46195</v>
      </c>
      <c r="Q5" s="48">
        <v>46196</v>
      </c>
      <c r="R5" s="48">
        <f t="shared" si="0"/>
        <v>46197</v>
      </c>
      <c r="S5" s="48">
        <f t="shared" si="0"/>
        <v>46198</v>
      </c>
      <c r="T5" s="48">
        <f t="shared" si="0"/>
        <v>46199</v>
      </c>
      <c r="U5" s="48">
        <f t="shared" si="0"/>
        <v>46200</v>
      </c>
      <c r="V5" s="49">
        <f t="shared" si="0"/>
        <v>46201</v>
      </c>
      <c r="W5" s="47">
        <v>46202</v>
      </c>
      <c r="X5" s="48">
        <v>46203</v>
      </c>
      <c r="Y5" s="48">
        <f t="shared" si="0"/>
        <v>46204</v>
      </c>
      <c r="Z5" s="48">
        <f t="shared" si="0"/>
        <v>46205</v>
      </c>
      <c r="AA5" s="48">
        <f t="shared" si="0"/>
        <v>46206</v>
      </c>
      <c r="AB5" s="48">
        <f t="shared" si="0"/>
        <v>46207</v>
      </c>
      <c r="AC5" s="49">
        <f t="shared" si="0"/>
        <v>46208</v>
      </c>
      <c r="AD5" s="47">
        <v>46209</v>
      </c>
      <c r="AE5" s="48">
        <v>46210</v>
      </c>
      <c r="AF5" s="48">
        <f t="shared" si="0"/>
        <v>46211</v>
      </c>
      <c r="AG5" s="48">
        <f t="shared" si="0"/>
        <v>46212</v>
      </c>
      <c r="AH5" s="48">
        <f t="shared" si="0"/>
        <v>46213</v>
      </c>
      <c r="AI5" s="48">
        <f t="shared" si="0"/>
        <v>46214</v>
      </c>
      <c r="AJ5" s="49">
        <f t="shared" si="0"/>
        <v>46215</v>
      </c>
      <c r="AK5" s="47">
        <v>46216</v>
      </c>
      <c r="AL5" s="48">
        <v>46217</v>
      </c>
      <c r="AM5" s="48">
        <f t="shared" si="0"/>
        <v>46218</v>
      </c>
      <c r="AN5" s="48">
        <f t="shared" si="0"/>
        <v>46219</v>
      </c>
      <c r="AO5" s="48">
        <f t="shared" si="0"/>
        <v>46220</v>
      </c>
      <c r="AP5" s="48">
        <f t="shared" si="0"/>
        <v>46221</v>
      </c>
      <c r="AQ5" s="49">
        <f t="shared" si="0"/>
        <v>46222</v>
      </c>
      <c r="AR5" s="47">
        <v>46223</v>
      </c>
      <c r="AS5" s="48">
        <v>46224</v>
      </c>
      <c r="AT5" s="48">
        <f t="shared" si="0"/>
        <v>46225</v>
      </c>
      <c r="AU5" s="48">
        <f t="shared" si="0"/>
        <v>46226</v>
      </c>
      <c r="AV5" s="48">
        <f t="shared" si="0"/>
        <v>46227</v>
      </c>
      <c r="AW5" s="48">
        <f t="shared" si="0"/>
        <v>46228</v>
      </c>
      <c r="AX5" s="49">
        <f t="shared" si="0"/>
        <v>46229</v>
      </c>
      <c r="AY5" s="100"/>
      <c r="AZ5" s="101"/>
      <c r="BA5" s="101">
        <f t="shared" ref="BA5:BE5" si="1">AZ5+1</f>
        <v>1</v>
      </c>
      <c r="BB5" s="101">
        <f t="shared" si="1"/>
        <v>2</v>
      </c>
      <c r="BC5" s="101">
        <f t="shared" si="1"/>
        <v>3</v>
      </c>
      <c r="BD5" s="101">
        <f t="shared" si="1"/>
        <v>4</v>
      </c>
      <c r="BE5" s="102">
        <f t="shared" si="1"/>
        <v>5</v>
      </c>
      <c r="BF5" s="100"/>
      <c r="BG5" s="101"/>
      <c r="BH5" s="101">
        <f t="shared" ref="BH5:BL5" si="2">BG5+1</f>
        <v>1</v>
      </c>
      <c r="BI5" s="101">
        <f t="shared" si="2"/>
        <v>2</v>
      </c>
      <c r="BJ5" s="101">
        <f t="shared" si="2"/>
        <v>3</v>
      </c>
      <c r="BK5" s="101">
        <f t="shared" si="2"/>
        <v>4</v>
      </c>
      <c r="BL5" s="102">
        <f t="shared" si="2"/>
        <v>5</v>
      </c>
    </row>
    <row r="6" spans="1:64" ht="24.75" customHeight="1" x14ac:dyDescent="0.2">
      <c r="A6" s="19"/>
      <c r="B6" s="44" t="s">
        <v>0</v>
      </c>
      <c r="C6" s="45" t="s">
        <v>1</v>
      </c>
      <c r="D6" s="45" t="s">
        <v>2</v>
      </c>
      <c r="E6" s="45" t="s">
        <v>3</v>
      </c>
      <c r="F6" s="45" t="s">
        <v>4</v>
      </c>
      <c r="G6" s="22"/>
      <c r="H6" s="45" t="s">
        <v>5</v>
      </c>
      <c r="I6" s="46" t="str">
        <f t="shared" ref="I6" si="3">LEFT(TEXT(I5,"ddd"),1)</f>
        <v>M</v>
      </c>
      <c r="J6" s="46" t="str">
        <f t="shared" ref="J6:AR6" si="4">LEFT(TEXT(J5,"ddd"),1)</f>
        <v>T</v>
      </c>
      <c r="K6" s="46" t="str">
        <f t="shared" si="4"/>
        <v>W</v>
      </c>
      <c r="L6" s="46" t="str">
        <f t="shared" si="4"/>
        <v>T</v>
      </c>
      <c r="M6" s="46" t="str">
        <f t="shared" si="4"/>
        <v>F</v>
      </c>
      <c r="N6" s="46" t="str">
        <f t="shared" si="4"/>
        <v>S</v>
      </c>
      <c r="O6" s="46" t="str">
        <f t="shared" si="4"/>
        <v>S</v>
      </c>
      <c r="P6" s="46" t="str">
        <f t="shared" si="4"/>
        <v>M</v>
      </c>
      <c r="Q6" s="46" t="str">
        <f t="shared" si="4"/>
        <v>T</v>
      </c>
      <c r="R6" s="46" t="str">
        <f t="shared" si="4"/>
        <v>W</v>
      </c>
      <c r="S6" s="46" t="str">
        <f t="shared" si="4"/>
        <v>T</v>
      </c>
      <c r="T6" s="46" t="str">
        <f t="shared" si="4"/>
        <v>F</v>
      </c>
      <c r="U6" s="46" t="str">
        <f t="shared" si="4"/>
        <v>S</v>
      </c>
      <c r="V6" s="46" t="str">
        <f t="shared" si="4"/>
        <v>S</v>
      </c>
      <c r="W6" s="46" t="str">
        <f t="shared" si="4"/>
        <v>M</v>
      </c>
      <c r="X6" s="46" t="str">
        <f t="shared" si="4"/>
        <v>T</v>
      </c>
      <c r="Y6" s="46" t="str">
        <f t="shared" si="4"/>
        <v>W</v>
      </c>
      <c r="Z6" s="46" t="str">
        <f t="shared" si="4"/>
        <v>T</v>
      </c>
      <c r="AA6" s="46" t="str">
        <f t="shared" si="4"/>
        <v>F</v>
      </c>
      <c r="AB6" s="46" t="str">
        <f t="shared" si="4"/>
        <v>S</v>
      </c>
      <c r="AC6" s="46" t="str">
        <f t="shared" si="4"/>
        <v>S</v>
      </c>
      <c r="AD6" s="46" t="str">
        <f t="shared" si="4"/>
        <v>M</v>
      </c>
      <c r="AE6" s="46" t="str">
        <f t="shared" si="4"/>
        <v>T</v>
      </c>
      <c r="AF6" s="46" t="str">
        <f t="shared" si="4"/>
        <v>W</v>
      </c>
      <c r="AG6" s="46" t="str">
        <f t="shared" si="4"/>
        <v>T</v>
      </c>
      <c r="AH6" s="46" t="str">
        <f t="shared" si="4"/>
        <v>F</v>
      </c>
      <c r="AI6" s="46" t="str">
        <f t="shared" si="4"/>
        <v>S</v>
      </c>
      <c r="AJ6" s="46" t="str">
        <f t="shared" si="4"/>
        <v>S</v>
      </c>
      <c r="AK6" s="46" t="str">
        <f t="shared" si="4"/>
        <v>M</v>
      </c>
      <c r="AL6" s="46" t="str">
        <f t="shared" si="4"/>
        <v>T</v>
      </c>
      <c r="AM6" s="46" t="str">
        <f t="shared" si="4"/>
        <v>W</v>
      </c>
      <c r="AN6" s="46" t="str">
        <f t="shared" si="4"/>
        <v>T</v>
      </c>
      <c r="AO6" s="46" t="str">
        <f t="shared" si="4"/>
        <v>F</v>
      </c>
      <c r="AP6" s="46" t="str">
        <f t="shared" si="4"/>
        <v>S</v>
      </c>
      <c r="AQ6" s="46" t="str">
        <f t="shared" si="4"/>
        <v>S</v>
      </c>
      <c r="AR6" s="46" t="str">
        <f t="shared" si="4"/>
        <v>M</v>
      </c>
      <c r="AS6" s="46" t="str">
        <f t="shared" ref="AS6:BL6" si="5">LEFT(TEXT(AS5,"ddd"),1)</f>
        <v>T</v>
      </c>
      <c r="AT6" s="46" t="str">
        <f t="shared" si="5"/>
        <v>W</v>
      </c>
      <c r="AU6" s="46" t="str">
        <f t="shared" si="5"/>
        <v>T</v>
      </c>
      <c r="AV6" s="46" t="str">
        <f t="shared" si="5"/>
        <v>F</v>
      </c>
      <c r="AW6" s="46" t="str">
        <f t="shared" si="5"/>
        <v>S</v>
      </c>
      <c r="AX6" s="46" t="str">
        <f t="shared" si="5"/>
        <v>S</v>
      </c>
      <c r="AY6" s="103" t="str">
        <f t="shared" si="5"/>
        <v>S</v>
      </c>
      <c r="AZ6" s="103" t="str">
        <f t="shared" si="5"/>
        <v>S</v>
      </c>
      <c r="BA6" s="103" t="str">
        <f t="shared" si="5"/>
        <v>S</v>
      </c>
      <c r="BB6" s="103" t="str">
        <f t="shared" si="5"/>
        <v>M</v>
      </c>
      <c r="BC6" s="103" t="str">
        <f t="shared" si="5"/>
        <v>T</v>
      </c>
      <c r="BD6" s="103" t="str">
        <f t="shared" si="5"/>
        <v>W</v>
      </c>
      <c r="BE6" s="103" t="str">
        <f t="shared" si="5"/>
        <v>T</v>
      </c>
      <c r="BF6" s="103" t="str">
        <f t="shared" si="5"/>
        <v>S</v>
      </c>
      <c r="BG6" s="103" t="str">
        <f t="shared" si="5"/>
        <v>S</v>
      </c>
      <c r="BH6" s="103" t="str">
        <f t="shared" si="5"/>
        <v>S</v>
      </c>
      <c r="BI6" s="103" t="str">
        <f t="shared" si="5"/>
        <v>M</v>
      </c>
      <c r="BJ6" s="103" t="str">
        <f t="shared" si="5"/>
        <v>T</v>
      </c>
      <c r="BK6" s="103" t="str">
        <f t="shared" si="5"/>
        <v>W</v>
      </c>
      <c r="BL6" s="103" t="str">
        <f t="shared" si="5"/>
        <v>T</v>
      </c>
    </row>
    <row r="7" spans="1:64" s="30" customFormat="1" ht="11.25" x14ac:dyDescent="0.25">
      <c r="A7" s="19"/>
      <c r="B7" s="23"/>
      <c r="C7" s="24"/>
      <c r="D7" s="25"/>
      <c r="E7" s="26"/>
      <c r="F7" s="27"/>
      <c r="G7" s="28"/>
      <c r="H7" s="28" t="str">
        <f t="shared" ref="H7:H48" si="6">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42"/>
      <c r="AZ7" s="42"/>
      <c r="BA7" s="42"/>
      <c r="BB7" s="42"/>
      <c r="BC7" s="42"/>
      <c r="BD7" s="42"/>
      <c r="BE7" s="42"/>
      <c r="BF7" s="42"/>
      <c r="BG7" s="42"/>
      <c r="BH7" s="42"/>
      <c r="BI7" s="42"/>
      <c r="BJ7" s="42"/>
      <c r="BK7" s="42"/>
      <c r="BL7" s="42"/>
    </row>
    <row r="8" spans="1:64" s="30" customFormat="1" ht="11.25" x14ac:dyDescent="0.25">
      <c r="A8" s="19"/>
      <c r="B8" s="50" t="s">
        <v>19</v>
      </c>
      <c r="C8" s="51"/>
      <c r="D8" s="53"/>
      <c r="E8" s="54"/>
      <c r="F8" s="55"/>
      <c r="G8" s="56"/>
      <c r="H8" s="56" t="str">
        <f t="shared" si="6"/>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30" customFormat="1" ht="11.25" x14ac:dyDescent="0.25">
      <c r="A9" s="19"/>
      <c r="B9" s="57" t="s">
        <v>20</v>
      </c>
      <c r="C9" s="58" t="s">
        <v>21</v>
      </c>
      <c r="D9" s="110">
        <v>1</v>
      </c>
      <c r="E9" s="59">
        <v>46188</v>
      </c>
      <c r="F9" s="111">
        <v>46188</v>
      </c>
      <c r="G9" s="28"/>
      <c r="H9" s="52">
        <f t="shared" si="6"/>
        <v>1</v>
      </c>
      <c r="I9" s="60"/>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row>
    <row r="10" spans="1:64" s="30" customFormat="1" ht="11.25" x14ac:dyDescent="0.25">
      <c r="A10" s="19"/>
      <c r="B10" s="57" t="s">
        <v>22</v>
      </c>
      <c r="C10" s="58" t="s">
        <v>23</v>
      </c>
      <c r="D10" s="110">
        <v>1</v>
      </c>
      <c r="E10" s="59">
        <v>46188</v>
      </c>
      <c r="F10" s="111">
        <v>46190</v>
      </c>
      <c r="G10" s="28"/>
      <c r="H10" s="52">
        <f t="shared" si="6"/>
        <v>3</v>
      </c>
      <c r="I10" s="60"/>
      <c r="J10" s="60"/>
      <c r="K10" s="60"/>
      <c r="L10" s="42"/>
      <c r="M10" s="42"/>
      <c r="N10" s="42"/>
      <c r="O10" s="42"/>
      <c r="P10" s="42"/>
      <c r="Q10" s="42"/>
      <c r="R10" s="42"/>
      <c r="S10" s="42"/>
      <c r="T10" s="42"/>
      <c r="U10" s="43"/>
      <c r="V10" s="43"/>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row>
    <row r="11" spans="1:64" s="30" customFormat="1" ht="22.5" x14ac:dyDescent="0.25">
      <c r="A11" s="19"/>
      <c r="B11" s="57" t="s">
        <v>24</v>
      </c>
      <c r="C11" s="58" t="s">
        <v>25</v>
      </c>
      <c r="D11" s="110">
        <v>1</v>
      </c>
      <c r="E11" s="59">
        <v>46189</v>
      </c>
      <c r="F11" s="111">
        <v>46192</v>
      </c>
      <c r="G11" s="28"/>
      <c r="H11" s="52">
        <f t="shared" si="6"/>
        <v>4</v>
      </c>
      <c r="I11" s="42"/>
      <c r="J11" s="60"/>
      <c r="K11" s="60"/>
      <c r="L11" s="60"/>
      <c r="M11" s="60"/>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row>
    <row r="12" spans="1:64" s="30" customFormat="1" ht="11.25" x14ac:dyDescent="0.25">
      <c r="A12" s="19"/>
      <c r="B12" s="57" t="s">
        <v>26</v>
      </c>
      <c r="C12" s="58" t="s">
        <v>27</v>
      </c>
      <c r="D12" s="110">
        <v>1</v>
      </c>
      <c r="E12" s="59">
        <v>46190</v>
      </c>
      <c r="F12" s="111">
        <v>46192</v>
      </c>
      <c r="G12" s="28"/>
      <c r="H12" s="52">
        <f t="shared" si="6"/>
        <v>3</v>
      </c>
      <c r="I12" s="42"/>
      <c r="J12" s="42"/>
      <c r="K12" s="60"/>
      <c r="L12" s="60"/>
      <c r="M12" s="60"/>
      <c r="N12" s="42"/>
      <c r="O12" s="42"/>
      <c r="P12" s="42"/>
      <c r="Q12" s="42"/>
      <c r="R12" s="42"/>
      <c r="S12" s="42"/>
      <c r="T12" s="42"/>
      <c r="U12" s="42"/>
      <c r="V12" s="42"/>
      <c r="W12" s="42"/>
      <c r="X12" s="42"/>
      <c r="Y12" s="43"/>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row>
    <row r="13" spans="1:64" s="30" customFormat="1" ht="11.25" x14ac:dyDescent="0.25">
      <c r="A13" s="19"/>
      <c r="B13" s="57" t="s">
        <v>28</v>
      </c>
      <c r="C13" s="58" t="s">
        <v>23</v>
      </c>
      <c r="D13" s="110">
        <v>1</v>
      </c>
      <c r="E13" s="59">
        <v>46191</v>
      </c>
      <c r="F13" s="111">
        <v>46194</v>
      </c>
      <c r="G13" s="28"/>
      <c r="H13" s="52">
        <f t="shared" si="6"/>
        <v>4</v>
      </c>
      <c r="I13" s="42"/>
      <c r="J13" s="42"/>
      <c r="K13" s="42"/>
      <c r="L13" s="60"/>
      <c r="M13" s="60"/>
      <c r="N13" s="60"/>
      <c r="O13" s="60"/>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row>
    <row r="14" spans="1:64" s="30" customFormat="1" ht="11.25" x14ac:dyDescent="0.25">
      <c r="A14" s="19"/>
      <c r="B14" s="61" t="s">
        <v>29</v>
      </c>
      <c r="C14" s="62"/>
      <c r="D14" s="105"/>
      <c r="E14" s="65"/>
      <c r="F14" s="112"/>
      <c r="G14" s="66"/>
      <c r="H14" s="66" t="str">
        <f t="shared" si="6"/>
        <v/>
      </c>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row>
    <row r="15" spans="1:64" s="30" customFormat="1" ht="11.25" x14ac:dyDescent="0.25">
      <c r="A15" s="19"/>
      <c r="B15" s="67" t="s">
        <v>30</v>
      </c>
      <c r="C15" s="68" t="s">
        <v>21</v>
      </c>
      <c r="D15" s="110">
        <v>1</v>
      </c>
      <c r="E15" s="63">
        <v>46195</v>
      </c>
      <c r="F15" s="113">
        <v>46196</v>
      </c>
      <c r="G15" s="28"/>
      <c r="H15" s="64">
        <f t="shared" si="6"/>
        <v>2</v>
      </c>
      <c r="I15" s="42"/>
      <c r="J15" s="42"/>
      <c r="K15" s="42"/>
      <c r="L15" s="42"/>
      <c r="M15" s="42"/>
      <c r="N15" s="42"/>
      <c r="O15" s="42"/>
      <c r="P15" s="69"/>
      <c r="Q15" s="69"/>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row>
    <row r="16" spans="1:64" s="30" customFormat="1" ht="11.25" x14ac:dyDescent="0.25">
      <c r="A16" s="19"/>
      <c r="B16" s="67" t="s">
        <v>31</v>
      </c>
      <c r="C16" s="68" t="s">
        <v>32</v>
      </c>
      <c r="D16" s="110">
        <v>0.95</v>
      </c>
      <c r="E16" s="63">
        <v>46195</v>
      </c>
      <c r="F16" s="113">
        <v>46199</v>
      </c>
      <c r="G16" s="28"/>
      <c r="H16" s="64">
        <f t="shared" si="6"/>
        <v>5</v>
      </c>
      <c r="I16" s="42"/>
      <c r="J16" s="42"/>
      <c r="K16" s="42"/>
      <c r="L16" s="42"/>
      <c r="M16" s="42"/>
      <c r="N16" s="42"/>
      <c r="O16" s="42"/>
      <c r="P16" s="69"/>
      <c r="Q16" s="69"/>
      <c r="R16" s="69"/>
      <c r="S16" s="69"/>
      <c r="T16" s="69"/>
      <c r="U16" s="43"/>
      <c r="V16" s="43"/>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row>
    <row r="17" spans="1:64" s="30" customFormat="1" ht="11.25" x14ac:dyDescent="0.25">
      <c r="A17" s="19"/>
      <c r="B17" s="67" t="s">
        <v>33</v>
      </c>
      <c r="C17" s="68" t="s">
        <v>34</v>
      </c>
      <c r="D17" s="110">
        <v>1</v>
      </c>
      <c r="E17" s="63">
        <v>46197</v>
      </c>
      <c r="F17" s="113">
        <v>46200</v>
      </c>
      <c r="G17" s="28"/>
      <c r="H17" s="64">
        <f t="shared" si="6"/>
        <v>4</v>
      </c>
      <c r="I17" s="42"/>
      <c r="J17" s="42"/>
      <c r="K17" s="42"/>
      <c r="L17" s="42"/>
      <c r="M17" s="42"/>
      <c r="N17" s="42"/>
      <c r="O17" s="42"/>
      <c r="P17" s="42"/>
      <c r="Q17" s="42"/>
      <c r="R17" s="69"/>
      <c r="S17" s="69"/>
      <c r="T17" s="69"/>
      <c r="U17" s="69"/>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row>
    <row r="18" spans="1:64" s="30" customFormat="1" ht="22.5" x14ac:dyDescent="0.25">
      <c r="A18" s="19"/>
      <c r="B18" s="67" t="s">
        <v>35</v>
      </c>
      <c r="C18" s="68" t="s">
        <v>36</v>
      </c>
      <c r="D18" s="110">
        <v>1</v>
      </c>
      <c r="E18" s="63">
        <v>46196</v>
      </c>
      <c r="F18" s="113">
        <v>46200</v>
      </c>
      <c r="G18" s="28"/>
      <c r="H18" s="64">
        <f t="shared" si="6"/>
        <v>5</v>
      </c>
      <c r="I18" s="42"/>
      <c r="J18" s="42"/>
      <c r="K18" s="42"/>
      <c r="L18" s="42"/>
      <c r="M18" s="42"/>
      <c r="N18" s="42"/>
      <c r="O18" s="42"/>
      <c r="P18" s="42"/>
      <c r="Q18" s="69"/>
      <c r="R18" s="69"/>
      <c r="S18" s="69"/>
      <c r="T18" s="69"/>
      <c r="U18" s="69"/>
      <c r="V18" s="42"/>
      <c r="W18" s="42"/>
      <c r="X18" s="42"/>
      <c r="Y18" s="43"/>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row>
    <row r="19" spans="1:64" s="30" customFormat="1" ht="11.25" x14ac:dyDescent="0.25">
      <c r="A19" s="19"/>
      <c r="B19" s="67" t="s">
        <v>37</v>
      </c>
      <c r="C19" s="68" t="s">
        <v>27</v>
      </c>
      <c r="D19" s="110">
        <v>0.85</v>
      </c>
      <c r="E19" s="63">
        <v>46200</v>
      </c>
      <c r="F19" s="113">
        <v>46201</v>
      </c>
      <c r="G19" s="28"/>
      <c r="H19" s="64">
        <f t="shared" si="6"/>
        <v>2</v>
      </c>
      <c r="I19" s="42"/>
      <c r="J19" s="42"/>
      <c r="K19" s="42"/>
      <c r="L19" s="42"/>
      <c r="M19" s="42"/>
      <c r="N19" s="42"/>
      <c r="O19" s="42"/>
      <c r="P19" s="42"/>
      <c r="Q19" s="42"/>
      <c r="R19" s="42"/>
      <c r="S19" s="42"/>
      <c r="T19" s="42"/>
      <c r="U19" s="69"/>
      <c r="V19" s="69"/>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row>
    <row r="20" spans="1:64" s="30" customFormat="1" ht="11.25" x14ac:dyDescent="0.25">
      <c r="A20" s="19"/>
      <c r="B20" s="70" t="s">
        <v>38</v>
      </c>
      <c r="C20" s="71"/>
      <c r="D20" s="106"/>
      <c r="E20" s="74"/>
      <c r="F20" s="114"/>
      <c r="G20" s="75"/>
      <c r="H20" s="75" t="str">
        <f t="shared" si="6"/>
        <v/>
      </c>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row>
    <row r="21" spans="1:64" s="30" customFormat="1" ht="22.5" x14ac:dyDescent="0.25">
      <c r="A21" s="19"/>
      <c r="B21" s="76" t="s">
        <v>39</v>
      </c>
      <c r="C21" s="77" t="s">
        <v>27</v>
      </c>
      <c r="D21" s="110">
        <v>0.45</v>
      </c>
      <c r="E21" s="72">
        <v>46202</v>
      </c>
      <c r="F21" s="115">
        <v>46203</v>
      </c>
      <c r="G21" s="28"/>
      <c r="H21" s="73">
        <f t="shared" si="6"/>
        <v>2</v>
      </c>
      <c r="I21" s="42"/>
      <c r="J21" s="42"/>
      <c r="K21" s="42"/>
      <c r="L21" s="42"/>
      <c r="M21" s="42"/>
      <c r="N21" s="42"/>
      <c r="O21" s="42"/>
      <c r="P21" s="42"/>
      <c r="Q21" s="42"/>
      <c r="R21" s="42"/>
      <c r="S21" s="42"/>
      <c r="T21" s="42"/>
      <c r="U21" s="42"/>
      <c r="V21" s="42"/>
      <c r="W21" s="78"/>
      <c r="X21" s="78"/>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row>
    <row r="22" spans="1:64" s="30" customFormat="1" ht="11.25" x14ac:dyDescent="0.25">
      <c r="A22" s="19"/>
      <c r="B22" s="76" t="s">
        <v>40</v>
      </c>
      <c r="C22" s="77" t="s">
        <v>25</v>
      </c>
      <c r="D22" s="110">
        <v>0</v>
      </c>
      <c r="E22" s="72">
        <v>46203</v>
      </c>
      <c r="F22" s="115">
        <v>46205</v>
      </c>
      <c r="G22" s="28"/>
      <c r="H22" s="73">
        <f t="shared" si="6"/>
        <v>3</v>
      </c>
      <c r="I22" s="42"/>
      <c r="J22" s="42"/>
      <c r="K22" s="42"/>
      <c r="L22" s="42"/>
      <c r="M22" s="42"/>
      <c r="N22" s="42"/>
      <c r="O22" s="42"/>
      <c r="P22" s="42"/>
      <c r="Q22" s="42"/>
      <c r="R22" s="42"/>
      <c r="S22" s="42"/>
      <c r="T22" s="42"/>
      <c r="U22" s="42"/>
      <c r="V22" s="42"/>
      <c r="W22" s="42"/>
      <c r="X22" s="78"/>
      <c r="Y22" s="78"/>
      <c r="Z22" s="78"/>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row>
    <row r="23" spans="1:64" s="30" customFormat="1" ht="11.25" x14ac:dyDescent="0.25">
      <c r="A23" s="19"/>
      <c r="B23" s="76" t="s">
        <v>41</v>
      </c>
      <c r="C23" s="77" t="s">
        <v>36</v>
      </c>
      <c r="D23" s="110">
        <v>0</v>
      </c>
      <c r="E23" s="72">
        <v>46203</v>
      </c>
      <c r="F23" s="115">
        <v>46206</v>
      </c>
      <c r="G23" s="28"/>
      <c r="H23" s="73">
        <f t="shared" si="6"/>
        <v>4</v>
      </c>
      <c r="I23" s="42"/>
      <c r="J23" s="42"/>
      <c r="K23" s="42"/>
      <c r="L23" s="42"/>
      <c r="M23" s="42"/>
      <c r="N23" s="42"/>
      <c r="O23" s="42"/>
      <c r="P23" s="42"/>
      <c r="Q23" s="42"/>
      <c r="R23" s="42"/>
      <c r="S23" s="42"/>
      <c r="T23" s="42"/>
      <c r="U23" s="42"/>
      <c r="V23" s="42"/>
      <c r="W23" s="42"/>
      <c r="X23" s="78"/>
      <c r="Y23" s="78"/>
      <c r="Z23" s="78"/>
      <c r="AA23" s="78"/>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row>
    <row r="24" spans="1:64" s="30" customFormat="1" ht="11.25" x14ac:dyDescent="0.25">
      <c r="A24" s="19"/>
      <c r="B24" s="76" t="s">
        <v>42</v>
      </c>
      <c r="C24" s="77" t="s">
        <v>27</v>
      </c>
      <c r="D24" s="110">
        <v>0</v>
      </c>
      <c r="E24" s="72">
        <v>46205</v>
      </c>
      <c r="F24" s="115">
        <v>46207</v>
      </c>
      <c r="G24" s="28"/>
      <c r="H24" s="73">
        <f t="shared" si="6"/>
        <v>3</v>
      </c>
      <c r="I24" s="42"/>
      <c r="J24" s="42"/>
      <c r="K24" s="42"/>
      <c r="L24" s="42"/>
      <c r="M24" s="42"/>
      <c r="N24" s="42"/>
      <c r="O24" s="42"/>
      <c r="P24" s="42"/>
      <c r="Q24" s="42"/>
      <c r="R24" s="42"/>
      <c r="S24" s="42"/>
      <c r="T24" s="42"/>
      <c r="U24" s="42"/>
      <c r="V24" s="42"/>
      <c r="W24" s="42"/>
      <c r="X24" s="42"/>
      <c r="Y24" s="42"/>
      <c r="Z24" s="78"/>
      <c r="AA24" s="78"/>
      <c r="AB24" s="78"/>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row>
    <row r="25" spans="1:64" s="30" customFormat="1" ht="11.25" x14ac:dyDescent="0.25">
      <c r="A25" s="19"/>
      <c r="B25" s="76" t="s">
        <v>43</v>
      </c>
      <c r="C25" s="77" t="s">
        <v>21</v>
      </c>
      <c r="D25" s="110">
        <v>0</v>
      </c>
      <c r="E25" s="72">
        <v>46207</v>
      </c>
      <c r="F25" s="115">
        <v>46208</v>
      </c>
      <c r="G25" s="28"/>
      <c r="H25" s="73">
        <f t="shared" si="6"/>
        <v>2</v>
      </c>
      <c r="I25" s="42"/>
      <c r="J25" s="42"/>
      <c r="K25" s="42"/>
      <c r="L25" s="42"/>
      <c r="M25" s="42"/>
      <c r="N25" s="42"/>
      <c r="O25" s="42"/>
      <c r="P25" s="42"/>
      <c r="Q25" s="42"/>
      <c r="R25" s="42"/>
      <c r="S25" s="42"/>
      <c r="T25" s="42"/>
      <c r="U25" s="42"/>
      <c r="V25" s="42"/>
      <c r="W25" s="42"/>
      <c r="X25" s="42"/>
      <c r="Y25" s="42"/>
      <c r="Z25" s="42"/>
      <c r="AA25" s="42"/>
      <c r="AB25" s="78"/>
      <c r="AC25" s="78"/>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row>
    <row r="26" spans="1:64" s="30" customFormat="1" ht="11.25" x14ac:dyDescent="0.25">
      <c r="A26" s="19"/>
      <c r="B26" s="79" t="s">
        <v>44</v>
      </c>
      <c r="C26" s="80"/>
      <c r="D26" s="107"/>
      <c r="E26" s="83"/>
      <c r="F26" s="116"/>
      <c r="G26" s="84"/>
      <c r="H26" s="84" t="str">
        <f t="shared" si="6"/>
        <v/>
      </c>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row>
    <row r="27" spans="1:64" s="30" customFormat="1" ht="11.25" x14ac:dyDescent="0.25">
      <c r="A27" s="19"/>
      <c r="B27" s="85" t="s">
        <v>45</v>
      </c>
      <c r="C27" s="86" t="s">
        <v>27</v>
      </c>
      <c r="D27" s="110">
        <v>0</v>
      </c>
      <c r="E27" s="81">
        <v>46209</v>
      </c>
      <c r="F27" s="117">
        <v>46210</v>
      </c>
      <c r="G27" s="28"/>
      <c r="H27" s="82">
        <f t="shared" si="6"/>
        <v>2</v>
      </c>
      <c r="I27" s="42"/>
      <c r="J27" s="42"/>
      <c r="K27" s="42"/>
      <c r="L27" s="42"/>
      <c r="M27" s="42"/>
      <c r="N27" s="42"/>
      <c r="O27" s="42"/>
      <c r="P27" s="42"/>
      <c r="Q27" s="42"/>
      <c r="R27" s="42"/>
      <c r="S27" s="42"/>
      <c r="T27" s="42"/>
      <c r="U27" s="42"/>
      <c r="V27" s="42"/>
      <c r="W27" s="42"/>
      <c r="X27" s="42"/>
      <c r="Y27" s="42"/>
      <c r="Z27" s="42"/>
      <c r="AA27" s="42"/>
      <c r="AB27" s="42"/>
      <c r="AC27" s="42"/>
      <c r="AD27" s="87"/>
      <c r="AE27" s="87"/>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row>
    <row r="28" spans="1:64" s="30" customFormat="1" ht="11.25" x14ac:dyDescent="0.25">
      <c r="A28" s="19"/>
      <c r="B28" s="85" t="s">
        <v>46</v>
      </c>
      <c r="C28" s="86" t="s">
        <v>36</v>
      </c>
      <c r="D28" s="110">
        <v>0</v>
      </c>
      <c r="E28" s="81">
        <v>46210</v>
      </c>
      <c r="F28" s="117">
        <v>46211</v>
      </c>
      <c r="G28" s="28"/>
      <c r="H28" s="82">
        <f t="shared" si="6"/>
        <v>2</v>
      </c>
      <c r="I28" s="42"/>
      <c r="J28" s="42"/>
      <c r="K28" s="42"/>
      <c r="L28" s="42"/>
      <c r="M28" s="42"/>
      <c r="N28" s="42"/>
      <c r="O28" s="42"/>
      <c r="P28" s="42"/>
      <c r="Q28" s="42"/>
      <c r="R28" s="42"/>
      <c r="S28" s="42"/>
      <c r="T28" s="42"/>
      <c r="U28" s="42"/>
      <c r="V28" s="42"/>
      <c r="W28" s="42"/>
      <c r="X28" s="42"/>
      <c r="Y28" s="42"/>
      <c r="Z28" s="42"/>
      <c r="AA28" s="42"/>
      <c r="AB28" s="42"/>
      <c r="AC28" s="42"/>
      <c r="AD28" s="42"/>
      <c r="AE28" s="87"/>
      <c r="AF28" s="87"/>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row>
    <row r="29" spans="1:64" s="30" customFormat="1" ht="11.25" x14ac:dyDescent="0.25">
      <c r="A29" s="19"/>
      <c r="B29" s="85" t="s">
        <v>47</v>
      </c>
      <c r="C29" s="86" t="s">
        <v>32</v>
      </c>
      <c r="D29" s="110">
        <v>0</v>
      </c>
      <c r="E29" s="81">
        <v>46211</v>
      </c>
      <c r="F29" s="117">
        <v>46212</v>
      </c>
      <c r="G29" s="28"/>
      <c r="H29" s="82">
        <f t="shared" si="6"/>
        <v>2</v>
      </c>
      <c r="I29" s="42"/>
      <c r="J29" s="42"/>
      <c r="K29" s="42"/>
      <c r="L29" s="42"/>
      <c r="M29" s="42"/>
      <c r="N29" s="42"/>
      <c r="O29" s="42"/>
      <c r="P29" s="42"/>
      <c r="Q29" s="42"/>
      <c r="R29" s="42"/>
      <c r="S29" s="42"/>
      <c r="T29" s="42"/>
      <c r="U29" s="42"/>
      <c r="V29" s="42"/>
      <c r="W29" s="42"/>
      <c r="X29" s="42"/>
      <c r="Y29" s="42"/>
      <c r="Z29" s="42"/>
      <c r="AA29" s="42"/>
      <c r="AB29" s="42"/>
      <c r="AC29" s="42"/>
      <c r="AD29" s="42"/>
      <c r="AE29" s="42"/>
      <c r="AF29" s="87"/>
      <c r="AG29" s="87"/>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row>
    <row r="30" spans="1:64" s="30" customFormat="1" ht="11.25" x14ac:dyDescent="0.25">
      <c r="A30" s="19"/>
      <c r="B30" s="85" t="s">
        <v>48</v>
      </c>
      <c r="C30" s="86" t="s">
        <v>27</v>
      </c>
      <c r="D30" s="110">
        <v>0</v>
      </c>
      <c r="E30" s="81">
        <v>46212</v>
      </c>
      <c r="F30" s="117">
        <v>46213</v>
      </c>
      <c r="G30" s="28"/>
      <c r="H30" s="82">
        <f t="shared" si="6"/>
        <v>2</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87"/>
      <c r="AH30" s="87"/>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row>
    <row r="31" spans="1:64" s="30" customFormat="1" ht="11.25" x14ac:dyDescent="0.25">
      <c r="A31" s="19"/>
      <c r="B31" s="85" t="s">
        <v>49</v>
      </c>
      <c r="C31" s="86" t="s">
        <v>21</v>
      </c>
      <c r="D31" s="110">
        <v>0</v>
      </c>
      <c r="E31" s="81">
        <v>46213</v>
      </c>
      <c r="F31" s="117">
        <v>46215</v>
      </c>
      <c r="G31" s="28"/>
      <c r="H31" s="82">
        <f t="shared" si="6"/>
        <v>3</v>
      </c>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87"/>
      <c r="AI31" s="87"/>
      <c r="AJ31" s="87"/>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row>
    <row r="32" spans="1:64" s="30" customFormat="1" ht="22.5" x14ac:dyDescent="0.25">
      <c r="A32" s="19"/>
      <c r="B32" s="50" t="s">
        <v>50</v>
      </c>
      <c r="C32" s="51"/>
      <c r="D32" s="108"/>
      <c r="E32" s="88"/>
      <c r="F32" s="118"/>
      <c r="G32" s="56"/>
      <c r="H32" s="56" t="str">
        <f t="shared" si="6"/>
        <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30" customFormat="1" ht="11.25" x14ac:dyDescent="0.25">
      <c r="A33" s="19"/>
      <c r="B33" s="57" t="s">
        <v>51</v>
      </c>
      <c r="C33" s="58" t="s">
        <v>23</v>
      </c>
      <c r="D33" s="110">
        <v>0</v>
      </c>
      <c r="E33" s="59">
        <v>46216</v>
      </c>
      <c r="F33" s="111">
        <v>46218</v>
      </c>
      <c r="G33" s="28"/>
      <c r="H33" s="52">
        <f t="shared" si="6"/>
        <v>3</v>
      </c>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89"/>
      <c r="AL33" s="89"/>
      <c r="AM33" s="89"/>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row>
    <row r="34" spans="1:64" s="30" customFormat="1" ht="11.25" x14ac:dyDescent="0.25">
      <c r="A34" s="19"/>
      <c r="B34" s="57" t="s">
        <v>52</v>
      </c>
      <c r="C34" s="58" t="s">
        <v>36</v>
      </c>
      <c r="D34" s="110">
        <v>0</v>
      </c>
      <c r="E34" s="59">
        <v>46217</v>
      </c>
      <c r="F34" s="111">
        <v>46219</v>
      </c>
      <c r="G34" s="28"/>
      <c r="H34" s="52">
        <f t="shared" si="6"/>
        <v>3</v>
      </c>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89"/>
      <c r="AM34" s="89"/>
      <c r="AN34" s="89"/>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row>
    <row r="35" spans="1:64" s="30" customFormat="1" ht="11.25" x14ac:dyDescent="0.25">
      <c r="A35" s="19"/>
      <c r="B35" s="57" t="s">
        <v>53</v>
      </c>
      <c r="C35" s="58" t="s">
        <v>25</v>
      </c>
      <c r="D35" s="110">
        <v>0</v>
      </c>
      <c r="E35" s="59">
        <v>46218</v>
      </c>
      <c r="F35" s="111">
        <v>46220</v>
      </c>
      <c r="G35" s="28"/>
      <c r="H35" s="52">
        <f t="shared" si="6"/>
        <v>3</v>
      </c>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89"/>
      <c r="AN35" s="89"/>
      <c r="AO35" s="89"/>
      <c r="AP35" s="42"/>
      <c r="AQ35" s="42"/>
      <c r="AR35" s="42"/>
      <c r="AS35" s="42"/>
      <c r="AT35" s="42"/>
      <c r="AU35" s="42"/>
      <c r="AV35" s="42"/>
      <c r="AW35" s="42"/>
      <c r="AX35" s="42"/>
      <c r="AY35" s="42"/>
      <c r="AZ35" s="42"/>
      <c r="BA35" s="42"/>
      <c r="BB35" s="42"/>
      <c r="BC35" s="42"/>
      <c r="BD35" s="42"/>
      <c r="BE35" s="42"/>
      <c r="BF35" s="42"/>
      <c r="BG35" s="42"/>
      <c r="BH35" s="42"/>
      <c r="BI35" s="42"/>
      <c r="BJ35" s="42"/>
      <c r="BK35" s="42"/>
      <c r="BL35" s="42"/>
    </row>
    <row r="36" spans="1:64" s="30" customFormat="1" ht="11.25" x14ac:dyDescent="0.25">
      <c r="A36" s="19"/>
      <c r="B36" s="57" t="s">
        <v>54</v>
      </c>
      <c r="C36" s="58" t="s">
        <v>27</v>
      </c>
      <c r="D36" s="110">
        <v>0</v>
      </c>
      <c r="E36" s="59">
        <v>46220</v>
      </c>
      <c r="F36" s="111">
        <v>46221</v>
      </c>
      <c r="G36" s="28"/>
      <c r="H36" s="52">
        <f t="shared" si="6"/>
        <v>2</v>
      </c>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89"/>
      <c r="AP36" s="89"/>
      <c r="AQ36" s="42"/>
      <c r="AR36" s="42"/>
      <c r="AS36" s="42"/>
      <c r="AT36" s="42"/>
      <c r="AU36" s="42"/>
      <c r="AV36" s="42"/>
      <c r="AW36" s="42"/>
      <c r="AX36" s="42"/>
      <c r="AY36" s="42"/>
      <c r="AZ36" s="42"/>
      <c r="BA36" s="42"/>
      <c r="BB36" s="42"/>
      <c r="BC36" s="42"/>
      <c r="BD36" s="42"/>
      <c r="BE36" s="42"/>
      <c r="BF36" s="42"/>
      <c r="BG36" s="42"/>
      <c r="BH36" s="42"/>
      <c r="BI36" s="42"/>
      <c r="BJ36" s="42"/>
      <c r="BK36" s="42"/>
      <c r="BL36" s="42"/>
    </row>
    <row r="37" spans="1:64" s="30" customFormat="1" ht="11.25" x14ac:dyDescent="0.25">
      <c r="A37" s="19"/>
      <c r="B37" s="57" t="s">
        <v>55</v>
      </c>
      <c r="C37" s="58" t="s">
        <v>21</v>
      </c>
      <c r="D37" s="110">
        <v>0</v>
      </c>
      <c r="E37" s="59">
        <v>46221</v>
      </c>
      <c r="F37" s="111">
        <v>46222</v>
      </c>
      <c r="G37" s="28"/>
      <c r="H37" s="52">
        <v>2</v>
      </c>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89"/>
      <c r="AQ37" s="89"/>
      <c r="AR37" s="42"/>
      <c r="AS37" s="42"/>
      <c r="AT37" s="42"/>
      <c r="AU37" s="42"/>
      <c r="AV37" s="42"/>
      <c r="AW37" s="42"/>
      <c r="AX37" s="42"/>
      <c r="AY37" s="42"/>
      <c r="AZ37" s="42"/>
      <c r="BA37" s="42"/>
      <c r="BB37" s="42"/>
      <c r="BC37" s="42"/>
      <c r="BD37" s="42"/>
      <c r="BE37" s="42"/>
      <c r="BF37" s="42"/>
      <c r="BG37" s="42"/>
      <c r="BH37" s="42"/>
      <c r="BI37" s="42"/>
      <c r="BJ37" s="42"/>
      <c r="BK37" s="42"/>
      <c r="BL37" s="42"/>
    </row>
    <row r="38" spans="1:64" s="30" customFormat="1" ht="11.25" x14ac:dyDescent="0.25">
      <c r="A38" s="19"/>
      <c r="B38" s="90" t="s">
        <v>56</v>
      </c>
      <c r="C38" s="94"/>
      <c r="D38" s="109"/>
      <c r="E38" s="95"/>
      <c r="F38" s="119"/>
      <c r="G38" s="96"/>
      <c r="H38" s="96"/>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row>
    <row r="39" spans="1:64" s="30" customFormat="1" ht="11.25" x14ac:dyDescent="0.25">
      <c r="A39" s="19"/>
      <c r="B39" s="97" t="s">
        <v>57</v>
      </c>
      <c r="C39" s="91" t="s">
        <v>32</v>
      </c>
      <c r="D39" s="110">
        <v>0</v>
      </c>
      <c r="E39" s="92">
        <v>46223</v>
      </c>
      <c r="F39" s="120">
        <v>46224</v>
      </c>
      <c r="G39" s="28"/>
      <c r="H39" s="93">
        <v>2</v>
      </c>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98"/>
      <c r="AS39" s="98"/>
      <c r="AT39" s="42"/>
      <c r="AU39" s="42"/>
      <c r="AV39" s="42"/>
      <c r="AW39" s="42"/>
      <c r="AX39" s="42"/>
      <c r="AY39" s="42"/>
      <c r="AZ39" s="42"/>
      <c r="BA39" s="42"/>
      <c r="BB39" s="42"/>
      <c r="BC39" s="42"/>
      <c r="BD39" s="42"/>
      <c r="BE39" s="42"/>
      <c r="BF39" s="42"/>
      <c r="BG39" s="42"/>
      <c r="BH39" s="42"/>
      <c r="BI39" s="42"/>
      <c r="BJ39" s="42"/>
      <c r="BK39" s="42"/>
      <c r="BL39" s="42"/>
    </row>
    <row r="40" spans="1:64" s="30" customFormat="1" ht="11.25" x14ac:dyDescent="0.25">
      <c r="A40" s="19"/>
      <c r="B40" s="99" t="s">
        <v>58</v>
      </c>
      <c r="C40" s="91" t="s">
        <v>59</v>
      </c>
      <c r="D40" s="110">
        <v>0</v>
      </c>
      <c r="E40" s="92">
        <v>46223</v>
      </c>
      <c r="F40" s="120">
        <v>46225</v>
      </c>
      <c r="G40" s="28"/>
      <c r="H40" s="93">
        <v>3</v>
      </c>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98"/>
      <c r="AS40" s="98"/>
      <c r="AT40" s="98"/>
      <c r="AU40" s="42"/>
      <c r="AV40" s="42"/>
      <c r="AW40" s="42"/>
      <c r="AX40" s="42"/>
      <c r="AY40" s="42"/>
      <c r="AZ40" s="42"/>
      <c r="BA40" s="42"/>
      <c r="BB40" s="42"/>
      <c r="BC40" s="42"/>
      <c r="BD40" s="42"/>
      <c r="BE40" s="42"/>
      <c r="BF40" s="42"/>
      <c r="BG40" s="42"/>
      <c r="BH40" s="42"/>
      <c r="BI40" s="42"/>
      <c r="BJ40" s="42"/>
      <c r="BK40" s="42"/>
      <c r="BL40" s="42"/>
    </row>
    <row r="41" spans="1:64" s="30" customFormat="1" ht="11.25" x14ac:dyDescent="0.25">
      <c r="A41" s="19"/>
      <c r="B41" s="97" t="s">
        <v>60</v>
      </c>
      <c r="C41" s="91" t="s">
        <v>23</v>
      </c>
      <c r="D41" s="110">
        <v>0</v>
      </c>
      <c r="E41" s="92">
        <v>46224</v>
      </c>
      <c r="F41" s="120">
        <v>46226</v>
      </c>
      <c r="G41" s="28"/>
      <c r="H41" s="93">
        <v>3</v>
      </c>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98"/>
      <c r="AT41" s="98"/>
      <c r="AU41" s="98"/>
      <c r="AV41" s="42"/>
      <c r="AW41" s="42"/>
      <c r="AX41" s="42"/>
      <c r="AY41" s="42"/>
      <c r="AZ41" s="42"/>
      <c r="BA41" s="42"/>
      <c r="BB41" s="42"/>
      <c r="BC41" s="42"/>
      <c r="BD41" s="42"/>
      <c r="BE41" s="42"/>
      <c r="BF41" s="42"/>
      <c r="BG41" s="42"/>
      <c r="BH41" s="42"/>
      <c r="BI41" s="42"/>
      <c r="BJ41" s="42"/>
      <c r="BK41" s="42"/>
      <c r="BL41" s="42"/>
    </row>
    <row r="42" spans="1:64" s="30" customFormat="1" ht="22.5" x14ac:dyDescent="0.25">
      <c r="A42" s="19"/>
      <c r="B42" s="97" t="s">
        <v>61</v>
      </c>
      <c r="C42" s="91" t="s">
        <v>21</v>
      </c>
      <c r="D42" s="110">
        <v>0</v>
      </c>
      <c r="E42" s="92">
        <v>46225</v>
      </c>
      <c r="F42" s="120">
        <v>46227</v>
      </c>
      <c r="G42" s="28"/>
      <c r="H42" s="93">
        <v>3</v>
      </c>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98"/>
      <c r="AU42" s="98"/>
      <c r="AV42" s="98"/>
      <c r="AW42" s="42"/>
      <c r="AX42" s="42"/>
      <c r="AY42" s="42"/>
      <c r="AZ42" s="42"/>
      <c r="BA42" s="42"/>
      <c r="BB42" s="42"/>
      <c r="BC42" s="42"/>
      <c r="BD42" s="42"/>
      <c r="BE42" s="42"/>
      <c r="BF42" s="42"/>
      <c r="BG42" s="42"/>
      <c r="BH42" s="42"/>
      <c r="BI42" s="42"/>
      <c r="BJ42" s="42"/>
      <c r="BK42" s="42"/>
      <c r="BL42" s="42"/>
    </row>
    <row r="43" spans="1:64" s="30" customFormat="1" ht="11.25" x14ac:dyDescent="0.25">
      <c r="A43" s="19"/>
      <c r="B43" s="97" t="s">
        <v>62</v>
      </c>
      <c r="C43" s="91" t="s">
        <v>21</v>
      </c>
      <c r="D43" s="110">
        <v>0</v>
      </c>
      <c r="E43" s="92">
        <v>46227</v>
      </c>
      <c r="F43" s="120">
        <v>46227</v>
      </c>
      <c r="G43" s="28"/>
      <c r="H43" s="93">
        <v>1</v>
      </c>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98"/>
      <c r="AW43" s="42"/>
      <c r="AX43" s="42"/>
      <c r="AY43" s="42"/>
      <c r="AZ43" s="42"/>
      <c r="BA43" s="42"/>
      <c r="BB43" s="42"/>
      <c r="BC43" s="42"/>
      <c r="BD43" s="42"/>
      <c r="BE43" s="42"/>
      <c r="BF43" s="42"/>
      <c r="BG43" s="42"/>
      <c r="BH43" s="42"/>
      <c r="BI43" s="42"/>
      <c r="BJ43" s="42"/>
      <c r="BK43" s="42"/>
      <c r="BL43" s="42"/>
    </row>
    <row r="44" spans="1:64" s="30" customFormat="1" ht="11.25" x14ac:dyDescent="0.25">
      <c r="A44" s="19"/>
      <c r="B44" s="40"/>
      <c r="C44" s="39"/>
      <c r="D44" s="110"/>
      <c r="E44" s="121"/>
      <c r="F44" s="122"/>
      <c r="G44" s="28"/>
      <c r="H44" s="41" t="str">
        <f t="shared" si="6"/>
        <v/>
      </c>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row>
    <row r="45" spans="1:64" s="30" customFormat="1" ht="11.25" x14ac:dyDescent="0.25">
      <c r="A45" s="19"/>
      <c r="B45" s="23"/>
      <c r="C45" s="24"/>
      <c r="D45" s="25"/>
      <c r="E45" s="26"/>
      <c r="F45" s="27"/>
      <c r="G45" s="28"/>
      <c r="H45" s="28" t="str">
        <f t="shared" si="6"/>
        <v/>
      </c>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1:64" s="30" customFormat="1" ht="11.25" x14ac:dyDescent="0.25">
      <c r="A46" s="19"/>
      <c r="B46" s="23"/>
      <c r="C46" s="24"/>
      <c r="D46" s="25"/>
      <c r="E46" s="26"/>
      <c r="F46" s="27"/>
      <c r="G46" s="28"/>
      <c r="H46" s="28" t="str">
        <f t="shared" si="6"/>
        <v/>
      </c>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row>
    <row r="47" spans="1:64" s="30" customFormat="1" ht="11.25" x14ac:dyDescent="0.25">
      <c r="A47" s="19"/>
      <c r="B47" s="23"/>
      <c r="C47" s="24"/>
      <c r="D47" s="25"/>
      <c r="E47" s="26"/>
      <c r="F47" s="27"/>
      <c r="G47" s="28"/>
      <c r="H47" s="28" t="str">
        <f t="shared" si="6"/>
        <v/>
      </c>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row>
    <row r="48" spans="1:64" s="30" customFormat="1" ht="11.25" x14ac:dyDescent="0.25">
      <c r="A48" s="19"/>
      <c r="B48" s="31"/>
      <c r="C48" s="32"/>
      <c r="D48" s="33"/>
      <c r="E48" s="34"/>
      <c r="F48" s="35"/>
      <c r="G48" s="36"/>
      <c r="H48" s="36" t="str">
        <f t="shared" si="6"/>
        <v/>
      </c>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row>
    <row r="49" spans="1:7" x14ac:dyDescent="0.25">
      <c r="A49" s="19"/>
      <c r="G49" s="19"/>
    </row>
  </sheetData>
  <mergeCells count="11">
    <mergeCell ref="AR4:AX4"/>
    <mergeCell ref="AY4:BE4"/>
    <mergeCell ref="BF4:BL4"/>
    <mergeCell ref="E2:F2"/>
    <mergeCell ref="I4:O4"/>
    <mergeCell ref="P4:V4"/>
    <mergeCell ref="W4:AC4"/>
    <mergeCell ref="AD4:AJ4"/>
    <mergeCell ref="E3:F3"/>
    <mergeCell ref="T2:AK2"/>
    <mergeCell ref="AK4:AQ4"/>
  </mergeCells>
  <conditionalFormatting sqref="D7:D48">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fRule type="dataBar" priority="2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8">
    <cfRule type="expression" dxfId="2" priority="27">
      <formula>AND(today&gt;=I$5,today&lt;I$5+1)</formula>
    </cfRule>
  </conditionalFormatting>
  <conditionalFormatting sqref="I7:BL48">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negativeBarColorSameAsPositive="1" axisPosition="none">
              <x14:cfvo type="num">
                <xm:f>0</xm:f>
              </x14:cfvo>
              <x14:cfvo type="num">
                <xm:f>1</xm:f>
              </x14:cfvo>
            </x14:dataBar>
          </x14:cfRule>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showGridLines="0" workbookViewId="0"/>
  </sheetViews>
  <sheetFormatPr defaultRowHeight="12.75" x14ac:dyDescent="0.2"/>
  <cols>
    <col min="1" max="1" width="2.85546875" style="1" customWidth="1"/>
    <col min="2" max="2" width="87.140625" style="2" customWidth="1"/>
    <col min="3" max="16384" width="9.140625" style="1"/>
  </cols>
  <sheetData>
    <row r="1" spans="1:3" ht="46.5" customHeight="1" x14ac:dyDescent="0.25">
      <c r="A1" t="s">
        <v>63</v>
      </c>
      <c r="B1"/>
    </row>
    <row r="2" spans="1:3" s="4" customFormat="1" ht="15.75" x14ac:dyDescent="0.25">
      <c r="A2" t="s">
        <v>64</v>
      </c>
      <c r="B2" s="3" t="s">
        <v>65</v>
      </c>
      <c r="C2" s="3"/>
    </row>
    <row r="3" spans="1:3" s="6" customFormat="1" ht="13.5" customHeight="1" x14ac:dyDescent="0.25">
      <c r="A3" t="s">
        <v>66</v>
      </c>
      <c r="B3" s="5" t="s">
        <v>67</v>
      </c>
      <c r="C3" s="5"/>
    </row>
    <row r="4" spans="1:3" ht="15" x14ac:dyDescent="0.25">
      <c r="A4" t="s">
        <v>68</v>
      </c>
      <c r="B4" s="104">
        <v>46188</v>
      </c>
    </row>
    <row r="5" spans="1:3" ht="15" x14ac:dyDescent="0.25">
      <c r="A5" t="s">
        <v>69</v>
      </c>
      <c r="B5" t="s">
        <v>70</v>
      </c>
    </row>
    <row r="6" spans="1:3" s="7" customFormat="1" ht="26.25" x14ac:dyDescent="0.4">
      <c r="A6" t="s">
        <v>71</v>
      </c>
      <c r="B6" s="9" t="s">
        <v>72</v>
      </c>
    </row>
    <row r="7" spans="1:3" ht="15" x14ac:dyDescent="0.25">
      <c r="A7" t="s">
        <v>73</v>
      </c>
      <c r="B7" s="10" t="s">
        <v>74</v>
      </c>
    </row>
    <row r="8" spans="1:3" ht="15" x14ac:dyDescent="0.25">
      <c r="A8" t="s">
        <v>75</v>
      </c>
      <c r="B8" s="8" t="s">
        <v>76</v>
      </c>
    </row>
    <row r="9" spans="1:3" s="7" customFormat="1" ht="26.25" x14ac:dyDescent="0.4">
      <c r="A9" t="s">
        <v>77</v>
      </c>
      <c r="B9" s="9" t="s">
        <v>78</v>
      </c>
    </row>
    <row r="10" spans="1:3" ht="15" x14ac:dyDescent="0.25">
      <c r="A10" t="s">
        <v>79</v>
      </c>
      <c r="B10" s="10" t="s">
        <v>80</v>
      </c>
    </row>
    <row r="11" spans="1:3" ht="15" x14ac:dyDescent="0.25">
      <c r="A11" t="s">
        <v>81</v>
      </c>
      <c r="B11" s="11" t="s">
        <v>82</v>
      </c>
    </row>
    <row r="12" spans="1:3" ht="15" x14ac:dyDescent="0.25">
      <c r="A12" t="s">
        <v>83</v>
      </c>
      <c r="B12" s="8" t="s">
        <v>13</v>
      </c>
    </row>
    <row r="13" spans="1:3" ht="14.25" x14ac:dyDescent="0.2">
      <c r="B13" s="12" t="str">
        <f>HYPERLINK("https://vertex42.link/HowToMakeAGanttChart","► Watch How This Gantt Chart Was Created")</f>
        <v>► Watch How This Gantt Chart Was Created</v>
      </c>
    </row>
    <row r="14" spans="1:3" ht="15" x14ac:dyDescent="0.2">
      <c r="B14" s="8"/>
    </row>
    <row r="15" spans="1:3" s="7" customFormat="1" ht="26.25" x14ac:dyDescent="0.4">
      <c r="B15" s="9" t="s">
        <v>6</v>
      </c>
    </row>
    <row r="16" spans="1:3" ht="30" x14ac:dyDescent="0.2">
      <c r="B16" s="10" t="s">
        <v>7</v>
      </c>
    </row>
    <row r="17" spans="2:2" ht="14.25" x14ac:dyDescent="0.2">
      <c r="B17" s="11" t="s">
        <v>8</v>
      </c>
    </row>
    <row r="18" spans="2:2" ht="15" x14ac:dyDescent="0.2">
      <c r="B18" s="8"/>
    </row>
    <row r="19" spans="2:2" s="7" customFormat="1" ht="26.25" x14ac:dyDescent="0.4">
      <c r="B19" s="9" t="s">
        <v>9</v>
      </c>
    </row>
    <row r="20" spans="2:2" ht="60" x14ac:dyDescent="0.2">
      <c r="B20" s="10" t="s">
        <v>10</v>
      </c>
    </row>
    <row r="21" spans="2:2" ht="15" x14ac:dyDescent="0.2">
      <c r="B21" s="8"/>
    </row>
    <row r="22" spans="2:2" ht="75" x14ac:dyDescent="0.2">
      <c r="B22" s="10"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ProjectSchedule</vt:lpstr>
      <vt:lpstr>About</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Keith Paul KATO</cp:lastModifiedBy>
  <dcterms:modified xsi:type="dcterms:W3CDTF">2026-06-29T09:14:09Z</dcterms:modified>
</cp:coreProperties>
</file>